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nyalope\Documents\GitHub\excel\"/>
    </mc:Choice>
  </mc:AlternateContent>
  <xr:revisionPtr revIDLastSave="0" documentId="13_ncr:1_{E705C901-E714-47C2-B472-E94044AB67E1}" xr6:coauthVersionLast="47" xr6:coauthVersionMax="47" xr10:uidLastSave="{00000000-0000-0000-0000-000000000000}"/>
  <bookViews>
    <workbookView xWindow="-105" yWindow="0" windowWidth="19410" windowHeight="15585" firstSheet="6" activeTab="9" xr2:uid="{47981922-77C5-4EC3-A76E-98D6CE997DC2}"/>
  </bookViews>
  <sheets>
    <sheet name="MAX-MIN" sheetId="9" r:id="rId1"/>
    <sheet name="IF-IFS" sheetId="8" r:id="rId2"/>
    <sheet name="LEN" sheetId="2" r:id="rId3"/>
    <sheet name="LEFT-RIGHT" sheetId="4" r:id="rId4"/>
    <sheet name="DATETOTEXT" sheetId="3" r:id="rId5"/>
    <sheet name="TRIM" sheetId="6" r:id="rId6"/>
    <sheet name="CONCATENATE" sheetId="1" r:id="rId7"/>
    <sheet name="SUM-SUMIF" sheetId="12" r:id="rId8"/>
    <sheet name="COUNT-COUNTIF" sheetId="5" r:id="rId9"/>
    <sheet name="Days-NetworkDays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J3" i="1"/>
  <c r="J4" i="1"/>
  <c r="J5" i="1"/>
  <c r="J6" i="1"/>
  <c r="J7" i="1"/>
  <c r="J8" i="1"/>
  <c r="J9" i="1"/>
  <c r="J10" i="1"/>
  <c r="J2" i="1"/>
  <c r="J2" i="6" a="1"/>
  <c r="J2" i="6" s="1"/>
  <c r="J2" i="3" a="1"/>
  <c r="J2" i="3" s="1"/>
  <c r="L2" i="4" a="1"/>
  <c r="L2" i="4" s="1"/>
  <c r="K2" i="4" a="1"/>
  <c r="K2" i="4" s="1"/>
  <c r="J2" i="2" a="1"/>
  <c r="J2" i="2" s="1"/>
  <c r="K2" i="8" a="1"/>
  <c r="K2" i="8" s="1"/>
  <c r="J2" i="8" a="1"/>
  <c r="J2" i="8" s="1"/>
  <c r="K4" i="9"/>
  <c r="J4" i="9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<sst xmlns="http://schemas.openxmlformats.org/spreadsheetml/2006/main" count="478" uniqueCount="58">
  <si>
    <t>FirstName</t>
  </si>
  <si>
    <t>LastName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</si>
  <si>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</si>
  <si>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</si>
  <si>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</si>
  <si>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</si>
  <si>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</si>
  <si>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</si>
  <si>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</si>
  <si>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</si>
  <si>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</si>
  <si>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</si>
  <si>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</si>
  <si>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</si>
  <si>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</si>
  <si>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</si>
  <si>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StartDate</t>
  </si>
  <si>
    <t>EndDate</t>
  </si>
  <si>
    <t>Email</t>
  </si>
  <si>
    <t>TEXT(H2,"dd/mm/yyyy")</t>
  </si>
  <si>
    <t>SUM</t>
  </si>
  <si>
    <t>SUMIF</t>
  </si>
  <si>
    <t>SUMIFS</t>
  </si>
  <si>
    <t>COUNT</t>
  </si>
  <si>
    <t>COUNTIF</t>
  </si>
  <si>
    <t>COUNTIFS</t>
  </si>
  <si>
    <t>IF</t>
  </si>
  <si>
    <t>IFS</t>
  </si>
  <si>
    <t>DAYS</t>
  </si>
  <si>
    <t>NETWORKDAYS</t>
  </si>
  <si>
    <t>Left</t>
  </si>
  <si>
    <t>Right</t>
  </si>
  <si>
    <t>Anthony</t>
  </si>
  <si>
    <t>Vargas</t>
  </si>
  <si>
    <t>Manuel</t>
  </si>
  <si>
    <t>Norma</t>
  </si>
  <si>
    <t>Alvarado</t>
  </si>
  <si>
    <t>Ninoska</t>
  </si>
  <si>
    <t>Josafat</t>
  </si>
  <si>
    <t>Victor</t>
  </si>
  <si>
    <t>Rivera</t>
  </si>
  <si>
    <t>Castro</t>
  </si>
  <si>
    <t>Marco</t>
  </si>
  <si>
    <t>Chinchilla</t>
  </si>
  <si>
    <t>thonyalope@gmail.com</t>
  </si>
  <si>
    <t>mvargas@gmail.com</t>
  </si>
  <si>
    <t>nalvarado@gmail.com</t>
  </si>
  <si>
    <t>nvargas@gmail.com</t>
  </si>
  <si>
    <t>jvargas@gmail.com</t>
  </si>
  <si>
    <t>vvargas@gmail.com</t>
  </si>
  <si>
    <t>Alejandro</t>
  </si>
  <si>
    <t>arivera@gmail.com</t>
  </si>
  <si>
    <t>acastro@gmail.com</t>
  </si>
  <si>
    <t>mchinchilla@gmail.com</t>
  </si>
  <si>
    <t>MAX</t>
  </si>
  <si>
    <t>MIN</t>
  </si>
  <si>
    <t>TRIM</t>
  </si>
  <si>
    <t>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</si>
</sst>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1" fillId="0" borderId="0" xfId="1" applyNumberFormat="1" applyFont="1" applyAlignment="1">
      <alignment horizontal="right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rivera@gmail.com" TargetMode="External"/><Relationship Id="rId3" Type="http://schemas.openxmlformats.org/officeDocument/2006/relationships/hyperlink" Target="mailto:mvargas@gmail.com" TargetMode="External"/><Relationship Id="rId7" Type="http://schemas.openxmlformats.org/officeDocument/2006/relationships/hyperlink" Target="mailto:vvargas@gmail.com" TargetMode="External"/><Relationship Id="rId2" Type="http://schemas.openxmlformats.org/officeDocument/2006/relationships/hyperlink" Target="mailto:thonyalope@gmail.com" TargetMode="External"/><Relationship Id="rId1" Type="http://schemas.openxmlformats.org/officeDocument/2006/relationships/hyperlink" Target="mailto:thonyalope@gmail.com" TargetMode="External"/><Relationship Id="rId6" Type="http://schemas.openxmlformats.org/officeDocument/2006/relationships/hyperlink" Target="mailto:jvargas@gmail.com" TargetMode="External"/><Relationship Id="rId5" Type="http://schemas.openxmlformats.org/officeDocument/2006/relationships/hyperlink" Target="mailto:nvargas@gmail.com" TargetMode="External"/><Relationship Id="rId10" Type="http://schemas.openxmlformats.org/officeDocument/2006/relationships/hyperlink" Target="mailto:mchinchilla@gmail.com" TargetMode="External"/><Relationship Id="rId4" Type="http://schemas.openxmlformats.org/officeDocument/2006/relationships/hyperlink" Target="mailto:nalvarado@gmail.com" TargetMode="External"/><Relationship Id="rId9" Type="http://schemas.openxmlformats.org/officeDocument/2006/relationships/hyperlink" Target="mailto:acast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4"/>
  </sheetPr>
  <dimension ref="A1:K10"/>
  <sheetViews>
    <sheetView workbookViewId="0">
      <selection activeCell="I15" sqref="I15"/>
    </sheetView>
  </sheetViews>
  <sheetFormatPr defaultColWidth="13.7109375" defaultRowHeight="15" x14ac:dyDescent="0.25"/>
  <cols>
    <col min="1" max="1" width="11.7109375" bestFit="1" customWidth="1"/>
    <col min="4" max="4" width="7.7109375" customWidth="1"/>
    <col min="6" max="6" width="17.42578125" bestFit="1" customWidth="1"/>
  </cols>
  <sheetData>
    <row r="1" spans="1:11" x14ac:dyDescent="0.25">
      <c r="A1" s="3" t="s">
        <v>3</v>
      </c>
      <c r="B1" s="3" t="s">
        <v>0</v>
      </c>
      <c r="C1" s="3" t="s">
        <v>1</v>
      </c>
      <c r="D1" s="3" t="s">
        <v>6</v>
      </c>
      <c r="E1" s="3" t="s">
        <v>7</v>
      </c>
      <c r="F1" s="3" t="s">
        <v>4</v>
      </c>
      <c r="G1" s="3" t="s">
        <v>5</v>
      </c>
      <c r="H1" s="3" t="s">
        <v>16</v>
      </c>
      <c r="I1" s="3" t="s">
        <v>17</v>
      </c>
      <c r="J1" s="3" t="s">
        <v>54</v>
      </c>
      <c r="K1" s="3" t="s">
        <v>55</v>
      </c>
    </row>
    <row r="2" spans="1:11" x14ac:dyDescent="0.25">
      <c r="A2" s="4">
        <v>1001</v>
      </c>
      <c r="B2" s="4" t="s">
        <v>32</v>
      </c>
      <c r="C2" s="4" t="s">
        <v>33</v>
      </c>
      <c r="D2" s="4">
        <v>27</v>
      </c>
      <c r="E2" s="4" t="s">
        <v>9</v>
      </c>
      <c r="F2" s="4" t="s">
        <v>8</v>
      </c>
      <c r="G2" s="4">
        <v>45000</v>
      </c>
      <c r="H2" s="5">
        <v>37197</v>
      </c>
      <c r="I2" s="5">
        <v>42253</v>
      </c>
      <c r="J2" s="5">
        <f>MAX(H2:H10)</f>
        <v>37933</v>
      </c>
      <c r="K2" s="5">
        <f>MIN(H2:H10)</f>
        <v>35040</v>
      </c>
    </row>
    <row r="3" spans="1:11" x14ac:dyDescent="0.25">
      <c r="A3" s="4">
        <v>1002</v>
      </c>
      <c r="B3" s="4" t="s">
        <v>34</v>
      </c>
      <c r="C3" s="4" t="s">
        <v>33</v>
      </c>
      <c r="D3" s="4">
        <v>52</v>
      </c>
      <c r="E3" s="4" t="s">
        <v>9</v>
      </c>
      <c r="F3" s="4" t="s">
        <v>10</v>
      </c>
      <c r="G3" s="4">
        <v>36000</v>
      </c>
      <c r="H3" s="5">
        <v>36436</v>
      </c>
      <c r="I3" s="5">
        <v>42287</v>
      </c>
      <c r="J3" s="4">
        <f>MAX(D2:D10)</f>
        <v>54</v>
      </c>
      <c r="K3" s="4">
        <f>MIN(D2:D10)</f>
        <v>24</v>
      </c>
    </row>
    <row r="4" spans="1:11" x14ac:dyDescent="0.25">
      <c r="A4" s="4">
        <v>1003</v>
      </c>
      <c r="B4" s="4" t="s">
        <v>35</v>
      </c>
      <c r="C4" s="4" t="s">
        <v>36</v>
      </c>
      <c r="D4" s="4">
        <v>50</v>
      </c>
      <c r="E4" s="4" t="s">
        <v>11</v>
      </c>
      <c r="F4" s="4" t="s">
        <v>8</v>
      </c>
      <c r="G4" s="4">
        <v>63000</v>
      </c>
      <c r="H4" s="5">
        <v>36711</v>
      </c>
      <c r="I4" s="5">
        <v>42986</v>
      </c>
      <c r="J4" s="4">
        <f>MAX(G2:G10)</f>
        <v>65000</v>
      </c>
      <c r="K4" s="4">
        <f>(MIN(G2:G10))</f>
        <v>36000</v>
      </c>
    </row>
    <row r="5" spans="1:11" x14ac:dyDescent="0.25">
      <c r="A5" s="4">
        <v>1004</v>
      </c>
      <c r="B5" s="4" t="s">
        <v>37</v>
      </c>
      <c r="C5" s="4" t="s">
        <v>33</v>
      </c>
      <c r="D5" s="4">
        <v>24</v>
      </c>
      <c r="E5" s="4" t="s">
        <v>11</v>
      </c>
      <c r="F5" s="4" t="s">
        <v>12</v>
      </c>
      <c r="G5" s="4">
        <v>47000</v>
      </c>
      <c r="H5" s="5">
        <v>36530</v>
      </c>
      <c r="I5" s="5">
        <v>42341</v>
      </c>
      <c r="J5" s="4"/>
      <c r="K5" s="4"/>
    </row>
    <row r="6" spans="1:11" x14ac:dyDescent="0.25">
      <c r="A6" s="4">
        <v>1005</v>
      </c>
      <c r="B6" s="4" t="s">
        <v>38</v>
      </c>
      <c r="C6" s="4" t="s">
        <v>33</v>
      </c>
      <c r="D6" s="4">
        <v>25</v>
      </c>
      <c r="E6" s="4" t="s">
        <v>9</v>
      </c>
      <c r="F6" s="4" t="s">
        <v>13</v>
      </c>
      <c r="G6" s="4">
        <v>50000</v>
      </c>
      <c r="H6" s="5">
        <v>37017</v>
      </c>
      <c r="I6" s="5">
        <v>42977</v>
      </c>
      <c r="J6" s="4"/>
      <c r="K6" s="4"/>
    </row>
    <row r="7" spans="1:11" x14ac:dyDescent="0.25">
      <c r="A7" s="4">
        <v>1006</v>
      </c>
      <c r="B7" s="4" t="s">
        <v>39</v>
      </c>
      <c r="C7" s="4" t="s">
        <v>33</v>
      </c>
      <c r="D7" s="4">
        <v>54</v>
      </c>
      <c r="E7" s="4" t="s">
        <v>9</v>
      </c>
      <c r="F7" s="4" t="s">
        <v>14</v>
      </c>
      <c r="G7" s="4">
        <v>65000</v>
      </c>
      <c r="H7" s="5">
        <v>35040</v>
      </c>
      <c r="I7" s="5">
        <v>41528</v>
      </c>
      <c r="J7" s="4"/>
      <c r="K7" s="4"/>
    </row>
    <row r="8" spans="1:11" x14ac:dyDescent="0.25">
      <c r="A8" s="4">
        <v>1007</v>
      </c>
      <c r="B8" s="4" t="s">
        <v>50</v>
      </c>
      <c r="C8" s="4" t="s">
        <v>40</v>
      </c>
      <c r="D8" s="4">
        <v>29</v>
      </c>
      <c r="E8" s="4" t="s">
        <v>11</v>
      </c>
      <c r="F8" s="4" t="s">
        <v>15</v>
      </c>
      <c r="G8" s="4">
        <v>41000</v>
      </c>
      <c r="H8" s="5">
        <v>37933</v>
      </c>
      <c r="I8" s="5">
        <v>41551</v>
      </c>
      <c r="J8" s="4"/>
      <c r="K8" s="4"/>
    </row>
    <row r="9" spans="1:11" x14ac:dyDescent="0.25">
      <c r="A9" s="4">
        <v>1008</v>
      </c>
      <c r="B9" s="4" t="s">
        <v>32</v>
      </c>
      <c r="C9" s="4" t="s">
        <v>41</v>
      </c>
      <c r="D9" s="4">
        <v>27</v>
      </c>
      <c r="E9" s="4" t="s">
        <v>9</v>
      </c>
      <c r="F9" s="4" t="s">
        <v>8</v>
      </c>
      <c r="G9" s="4">
        <v>48000</v>
      </c>
      <c r="H9" s="5">
        <v>37416</v>
      </c>
      <c r="I9" s="5">
        <v>42116</v>
      </c>
      <c r="J9" s="4"/>
      <c r="K9" s="4"/>
    </row>
    <row r="10" spans="1:11" x14ac:dyDescent="0.25">
      <c r="A10" s="4">
        <v>1009</v>
      </c>
      <c r="B10" s="4" t="s">
        <v>42</v>
      </c>
      <c r="C10" s="4" t="s">
        <v>43</v>
      </c>
      <c r="D10" s="4">
        <v>28</v>
      </c>
      <c r="E10" s="4" t="s">
        <v>9</v>
      </c>
      <c r="F10" s="4" t="s">
        <v>12</v>
      </c>
      <c r="G10" s="4">
        <v>42000</v>
      </c>
      <c r="H10" s="5">
        <v>37843</v>
      </c>
      <c r="I10" s="5">
        <v>40800</v>
      </c>
      <c r="J10" s="4"/>
      <c r="K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4"/>
  </sheetPr>
  <dimension ref="A1:K10"/>
  <sheetViews>
    <sheetView workbookViewId="0">
      <selection activeCell="B8" sqref="B8"/>
    </sheetView>
  </sheetViews>
  <sheetFormatPr defaultColWidth="13.7109375" defaultRowHeight="15" x14ac:dyDescent="0.25"/>
  <cols>
    <col min="1" max="1" width="11.7109375" bestFit="1" customWidth="1"/>
    <col min="2" max="2" width="12.7109375" customWidth="1"/>
    <col min="3" max="3" width="14.5703125" customWidth="1"/>
    <col min="4" max="4" width="7.7109375" customWidth="1"/>
    <col min="6" max="6" width="17.42578125" bestFit="1" customWidth="1"/>
    <col min="11" max="11" width="20.28515625" bestFit="1" customWidth="1"/>
  </cols>
  <sheetData>
    <row r="1" spans="1:11" x14ac:dyDescent="0.25">
      <c r="A1" s="3" t="s">
        <v>3</v>
      </c>
      <c r="B1" s="3" t="s">
        <v>0</v>
      </c>
      <c r="C1" s="3" t="s">
        <v>1</v>
      </c>
      <c r="D1" s="3" t="s">
        <v>6</v>
      </c>
      <c r="E1" s="3" t="s">
        <v>7</v>
      </c>
      <c r="F1" s="3" t="s">
        <v>4</v>
      </c>
      <c r="G1" s="3" t="s">
        <v>5</v>
      </c>
      <c r="H1" s="3" t="s">
        <v>16</v>
      </c>
      <c r="I1" s="3" t="s">
        <v>17</v>
      </c>
      <c r="J1" s="3" t="s">
        <v>26</v>
      </c>
      <c r="K1" s="3" t="s">
        <v>27</v>
      </c>
    </row>
    <row r="2" spans="1:11" x14ac:dyDescent="0.25">
      <c r="A2" s="4">
        <v>1001</v>
      </c>
      <c r="B2" s="4" t="s">
        <v>32</v>
      </c>
      <c r="C2" s="4" t="s">
        <v>33</v>
      </c>
      <c r="D2" s="4">
        <v>27</v>
      </c>
      <c r="E2" s="4" t="s">
        <v>9</v>
      </c>
      <c r="F2" s="4" t="s">
        <v>8</v>
      </c>
      <c r="G2" s="4">
        <v>45000</v>
      </c>
      <c r="H2" s="5">
        <v>37197</v>
      </c>
      <c r="I2" s="5">
        <v>42253</v>
      </c>
      <c r="J2" s="4" t="str" cm="1">
        <f t="array" ref="J2:J10">IF(D2:D10 &gt; 30, "Old", "Young")</f>
        <v>Young</v>
      </c>
      <c r="K2" s="4" t="str" cm="1">
        <f t="array" ref="K2:K10">_xlfn.IFS(F2:F10="Salesman","Sales",F2:F10="HR","Fire Immediately",F2:F10="Regional Manager","Give Christmas Bonus")</f>
        <v>Sales</v>
      </c>
    </row>
    <row r="3" spans="1:11" x14ac:dyDescent="0.25">
      <c r="A3" s="4">
        <v>1002</v>
      </c>
      <c r="B3" s="4" t="s">
        <v>34</v>
      </c>
      <c r="C3" s="4" t="s">
        <v>33</v>
      </c>
      <c r="D3" s="4">
        <v>52</v>
      </c>
      <c r="E3" s="4" t="s">
        <v>9</v>
      </c>
      <c r="F3" s="4" t="s">
        <v>10</v>
      </c>
      <c r="G3" s="4">
        <v>36000</v>
      </c>
      <c r="H3" s="5">
        <v>36436</v>
      </c>
      <c r="I3" s="5">
        <v>42287</v>
      </c>
      <c r="J3" s="4" t="str">
        <v>Old</v>
      </c>
      <c r="K3" s="4" t="e">
        <v>#N/A</v>
      </c>
    </row>
    <row r="4" spans="1:11" x14ac:dyDescent="0.25">
      <c r="A4" s="4">
        <v>1003</v>
      </c>
      <c r="B4" s="4" t="s">
        <v>35</v>
      </c>
      <c r="C4" s="4" t="s">
        <v>36</v>
      </c>
      <c r="D4" s="4">
        <v>50</v>
      </c>
      <c r="E4" s="4" t="s">
        <v>11</v>
      </c>
      <c r="F4" s="4" t="s">
        <v>8</v>
      </c>
      <c r="G4" s="4">
        <v>63000</v>
      </c>
      <c r="H4" s="5">
        <v>36711</v>
      </c>
      <c r="I4" s="5">
        <v>42986</v>
      </c>
      <c r="J4" s="4" t="str">
        <v>Old</v>
      </c>
      <c r="K4" s="4" t="str">
        <v>Sales</v>
      </c>
    </row>
    <row r="5" spans="1:11" x14ac:dyDescent="0.25">
      <c r="A5" s="4">
        <v>1004</v>
      </c>
      <c r="B5" s="4" t="s">
        <v>37</v>
      </c>
      <c r="C5" s="4" t="s">
        <v>33</v>
      </c>
      <c r="D5" s="4">
        <v>24</v>
      </c>
      <c r="E5" s="4" t="s">
        <v>11</v>
      </c>
      <c r="F5" s="4" t="s">
        <v>12</v>
      </c>
      <c r="G5" s="4">
        <v>47000</v>
      </c>
      <c r="H5" s="5">
        <v>36530</v>
      </c>
      <c r="I5" s="5">
        <v>42341</v>
      </c>
      <c r="J5" s="4" t="str">
        <v>Young</v>
      </c>
      <c r="K5" s="4" t="e">
        <v>#N/A</v>
      </c>
    </row>
    <row r="6" spans="1:11" x14ac:dyDescent="0.25">
      <c r="A6" s="4">
        <v>1005</v>
      </c>
      <c r="B6" s="4" t="s">
        <v>38</v>
      </c>
      <c r="C6" s="4" t="s">
        <v>33</v>
      </c>
      <c r="D6" s="4">
        <v>25</v>
      </c>
      <c r="E6" s="4" t="s">
        <v>9</v>
      </c>
      <c r="F6" s="4" t="s">
        <v>13</v>
      </c>
      <c r="G6" s="4">
        <v>50000</v>
      </c>
      <c r="H6" s="5">
        <v>37017</v>
      </c>
      <c r="I6" s="5">
        <v>42977</v>
      </c>
      <c r="J6" s="4" t="str">
        <v>Young</v>
      </c>
      <c r="K6" s="4" t="str">
        <v>Fire Immediately</v>
      </c>
    </row>
    <row r="7" spans="1:11" x14ac:dyDescent="0.25">
      <c r="A7" s="4">
        <v>1006</v>
      </c>
      <c r="B7" s="4" t="s">
        <v>39</v>
      </c>
      <c r="C7" s="4" t="s">
        <v>33</v>
      </c>
      <c r="D7" s="4">
        <v>54</v>
      </c>
      <c r="E7" s="4" t="s">
        <v>9</v>
      </c>
      <c r="F7" s="4" t="s">
        <v>14</v>
      </c>
      <c r="G7" s="4">
        <v>65000</v>
      </c>
      <c r="H7" s="5">
        <v>35040</v>
      </c>
      <c r="I7" s="5">
        <v>41528</v>
      </c>
      <c r="J7" s="4" t="str">
        <v>Old</v>
      </c>
      <c r="K7" s="4" t="str">
        <v>Give Christmas Bonus</v>
      </c>
    </row>
    <row r="8" spans="1:11" x14ac:dyDescent="0.25">
      <c r="A8" s="4">
        <v>1007</v>
      </c>
      <c r="B8" s="4" t="s">
        <v>50</v>
      </c>
      <c r="C8" s="4" t="s">
        <v>40</v>
      </c>
      <c r="D8" s="4">
        <v>29</v>
      </c>
      <c r="E8" s="4" t="s">
        <v>11</v>
      </c>
      <c r="F8" s="4" t="s">
        <v>15</v>
      </c>
      <c r="G8" s="4">
        <v>41000</v>
      </c>
      <c r="H8" s="5">
        <v>37933</v>
      </c>
      <c r="I8" s="5">
        <v>41551</v>
      </c>
      <c r="J8" s="4" t="str">
        <v>Young</v>
      </c>
      <c r="K8" s="4" t="e">
        <v>#N/A</v>
      </c>
    </row>
    <row r="9" spans="1:11" x14ac:dyDescent="0.25">
      <c r="A9" s="4">
        <v>1008</v>
      </c>
      <c r="B9" s="4" t="s">
        <v>32</v>
      </c>
      <c r="C9" s="4" t="s">
        <v>41</v>
      </c>
      <c r="D9" s="4">
        <v>27</v>
      </c>
      <c r="E9" s="4" t="s">
        <v>9</v>
      </c>
      <c r="F9" s="4" t="s">
        <v>8</v>
      </c>
      <c r="G9" s="4">
        <v>48000</v>
      </c>
      <c r="H9" s="5">
        <v>37416</v>
      </c>
      <c r="I9" s="5">
        <v>42116</v>
      </c>
      <c r="J9" s="4" t="str">
        <v>Young</v>
      </c>
      <c r="K9" s="4" t="str">
        <v>Sales</v>
      </c>
    </row>
    <row r="10" spans="1:11" x14ac:dyDescent="0.25">
      <c r="A10" s="4">
        <v>1009</v>
      </c>
      <c r="B10" s="4" t="s">
        <v>42</v>
      </c>
      <c r="C10" s="4" t="s">
        <v>43</v>
      </c>
      <c r="D10" s="4">
        <v>28</v>
      </c>
      <c r="E10" s="4" t="s">
        <v>9</v>
      </c>
      <c r="F10" s="4" t="s">
        <v>12</v>
      </c>
      <c r="G10" s="4">
        <v>42000</v>
      </c>
      <c r="H10" s="5">
        <v>37843</v>
      </c>
      <c r="I10" s="5">
        <v>40800</v>
      </c>
      <c r="J10" s="4" t="str">
        <v>Young</v>
      </c>
      <c r="K10" s="4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4"/>
  </sheetPr>
  <dimension ref="A1:J10"/>
  <sheetViews>
    <sheetView workbookViewId="0">
      <selection activeCell="G20" sqref="G20"/>
    </sheetView>
  </sheetViews>
  <sheetFormatPr defaultColWidth="10.85546875" defaultRowHeight="15" x14ac:dyDescent="0.25"/>
  <cols>
    <col min="1" max="1" width="11.7109375" bestFit="1" customWidth="1"/>
    <col min="2" max="2" width="12.42578125" customWidth="1"/>
    <col min="3" max="3" width="12.7109375" customWidth="1"/>
    <col min="4" max="4" width="8.5703125" customWidth="1"/>
    <col min="5" max="5" width="13.140625" customWidth="1"/>
    <col min="6" max="6" width="17.42578125" bestFit="1" customWidth="1"/>
    <col min="7" max="7" width="11.140625" customWidth="1"/>
    <col min="8" max="8" width="12.28515625" customWidth="1"/>
    <col min="9" max="9" width="12.140625" customWidth="1"/>
  </cols>
  <sheetData>
    <row r="1" spans="1:10" x14ac:dyDescent="0.25">
      <c r="A1" s="3" t="s">
        <v>3</v>
      </c>
      <c r="B1" s="3" t="s">
        <v>0</v>
      </c>
      <c r="C1" s="3" t="s">
        <v>1</v>
      </c>
      <c r="D1" s="3" t="s">
        <v>6</v>
      </c>
      <c r="E1" s="3" t="s">
        <v>7</v>
      </c>
      <c r="F1" s="3" t="s">
        <v>4</v>
      </c>
      <c r="G1" s="3" t="s">
        <v>5</v>
      </c>
      <c r="H1" s="3" t="s">
        <v>16</v>
      </c>
      <c r="I1" s="3" t="s">
        <v>17</v>
      </c>
      <c r="J1" s="3" t="s">
        <v>2</v>
      </c>
    </row>
    <row r="2" spans="1:10" x14ac:dyDescent="0.25">
      <c r="A2" s="4">
        <v>1001</v>
      </c>
      <c r="B2" s="4" t="s">
        <v>32</v>
      </c>
      <c r="C2" s="4" t="s">
        <v>33</v>
      </c>
      <c r="D2" s="4">
        <v>27</v>
      </c>
      <c r="E2" s="4" t="s">
        <v>9</v>
      </c>
      <c r="F2" s="4" t="s">
        <v>8</v>
      </c>
      <c r="G2" s="4">
        <v>45000</v>
      </c>
      <c r="H2" s="5">
        <v>37197</v>
      </c>
      <c r="I2" s="5">
        <v>42253</v>
      </c>
      <c r="J2" cm="1">
        <f t="array" ref="J2:J10">LEN(C2:C10)</f>
        <v>6</v>
      </c>
    </row>
    <row r="3" spans="1:10" x14ac:dyDescent="0.25">
      <c r="A3" s="4">
        <v>1002</v>
      </c>
      <c r="B3" s="4" t="s">
        <v>34</v>
      </c>
      <c r="C3" s="4" t="s">
        <v>33</v>
      </c>
      <c r="D3" s="4">
        <v>52</v>
      </c>
      <c r="E3" s="4" t="s">
        <v>9</v>
      </c>
      <c r="F3" s="4" t="s">
        <v>10</v>
      </c>
      <c r="G3" s="4">
        <v>36000</v>
      </c>
      <c r="H3" s="5">
        <v>36436</v>
      </c>
      <c r="I3" s="5">
        <v>42287</v>
      </c>
      <c r="J3">
        <v>6</v>
      </c>
    </row>
    <row r="4" spans="1:10" x14ac:dyDescent="0.25">
      <c r="A4" s="4">
        <v>1003</v>
      </c>
      <c r="B4" s="4" t="s">
        <v>35</v>
      </c>
      <c r="C4" s="4" t="s">
        <v>36</v>
      </c>
      <c r="D4" s="4">
        <v>50</v>
      </c>
      <c r="E4" s="4" t="s">
        <v>11</v>
      </c>
      <c r="F4" s="4" t="s">
        <v>8</v>
      </c>
      <c r="G4" s="4">
        <v>63000</v>
      </c>
      <c r="H4" s="5">
        <v>36711</v>
      </c>
      <c r="I4" s="5">
        <v>42986</v>
      </c>
      <c r="J4">
        <v>8</v>
      </c>
    </row>
    <row r="5" spans="1:10" x14ac:dyDescent="0.25">
      <c r="A5" s="4">
        <v>1004</v>
      </c>
      <c r="B5" s="4" t="s">
        <v>37</v>
      </c>
      <c r="C5" s="4" t="s">
        <v>33</v>
      </c>
      <c r="D5" s="4">
        <v>24</v>
      </c>
      <c r="E5" s="4" t="s">
        <v>11</v>
      </c>
      <c r="F5" s="4" t="s">
        <v>12</v>
      </c>
      <c r="G5" s="4">
        <v>47000</v>
      </c>
      <c r="H5" s="5">
        <v>36530</v>
      </c>
      <c r="I5" s="5">
        <v>42341</v>
      </c>
      <c r="J5">
        <v>6</v>
      </c>
    </row>
    <row r="6" spans="1:10" x14ac:dyDescent="0.25">
      <c r="A6" s="4">
        <v>1005</v>
      </c>
      <c r="B6" s="4" t="s">
        <v>38</v>
      </c>
      <c r="C6" s="4" t="s">
        <v>33</v>
      </c>
      <c r="D6" s="4">
        <v>25</v>
      </c>
      <c r="E6" s="4" t="s">
        <v>9</v>
      </c>
      <c r="F6" s="4" t="s">
        <v>13</v>
      </c>
      <c r="G6" s="4">
        <v>50000</v>
      </c>
      <c r="H6" s="5">
        <v>37017</v>
      </c>
      <c r="I6" s="5">
        <v>42977</v>
      </c>
      <c r="J6">
        <v>6</v>
      </c>
    </row>
    <row r="7" spans="1:10" x14ac:dyDescent="0.25">
      <c r="A7" s="4">
        <v>1006</v>
      </c>
      <c r="B7" s="4" t="s">
        <v>39</v>
      </c>
      <c r="C7" s="4" t="s">
        <v>33</v>
      </c>
      <c r="D7" s="4">
        <v>54</v>
      </c>
      <c r="E7" s="4" t="s">
        <v>9</v>
      </c>
      <c r="F7" s="4" t="s">
        <v>14</v>
      </c>
      <c r="G7" s="4">
        <v>65000</v>
      </c>
      <c r="H7" s="5">
        <v>35040</v>
      </c>
      <c r="I7" s="5">
        <v>41528</v>
      </c>
      <c r="J7">
        <v>6</v>
      </c>
    </row>
    <row r="8" spans="1:10" x14ac:dyDescent="0.25">
      <c r="A8" s="4">
        <v>1007</v>
      </c>
      <c r="B8" s="4" t="s">
        <v>50</v>
      </c>
      <c r="C8" s="4" t="s">
        <v>40</v>
      </c>
      <c r="D8" s="4">
        <v>29</v>
      </c>
      <c r="E8" s="4" t="s">
        <v>11</v>
      </c>
      <c r="F8" s="4" t="s">
        <v>15</v>
      </c>
      <c r="G8" s="4">
        <v>41000</v>
      </c>
      <c r="H8" s="5">
        <v>37933</v>
      </c>
      <c r="I8" s="5">
        <v>41551</v>
      </c>
      <c r="J8">
        <v>6</v>
      </c>
    </row>
    <row r="9" spans="1:10" x14ac:dyDescent="0.25">
      <c r="A9" s="4">
        <v>1008</v>
      </c>
      <c r="B9" s="4" t="s">
        <v>32</v>
      </c>
      <c r="C9" s="4" t="s">
        <v>41</v>
      </c>
      <c r="D9" s="4">
        <v>27</v>
      </c>
      <c r="E9" s="4" t="s">
        <v>9</v>
      </c>
      <c r="F9" s="4" t="s">
        <v>8</v>
      </c>
      <c r="G9" s="4">
        <v>48000</v>
      </c>
      <c r="H9" s="5">
        <v>37416</v>
      </c>
      <c r="I9" s="5">
        <v>42116</v>
      </c>
      <c r="J9">
        <v>6</v>
      </c>
    </row>
    <row r="10" spans="1:10" x14ac:dyDescent="0.25">
      <c r="A10" s="4">
        <v>1009</v>
      </c>
      <c r="B10" s="4" t="s">
        <v>42</v>
      </c>
      <c r="C10" s="4" t="s">
        <v>43</v>
      </c>
      <c r="D10" s="4">
        <v>28</v>
      </c>
      <c r="E10" s="4" t="s">
        <v>9</v>
      </c>
      <c r="F10" s="4" t="s">
        <v>12</v>
      </c>
      <c r="G10" s="4">
        <v>42000</v>
      </c>
      <c r="H10" s="5">
        <v>37843</v>
      </c>
      <c r="I10" s="5">
        <v>40800</v>
      </c>
      <c r="J10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4"/>
  </sheetPr>
  <dimension ref="A1:M11"/>
  <sheetViews>
    <sheetView topLeftCell="B1" workbookViewId="0">
      <selection activeCell="H29" sqref="H29"/>
    </sheetView>
  </sheetViews>
  <sheetFormatPr defaultColWidth="14.5703125" defaultRowHeight="15" x14ac:dyDescent="0.25"/>
  <cols>
    <col min="4" max="4" width="8" customWidth="1"/>
    <col min="6" max="6" width="17.42578125" bestFit="1" customWidth="1"/>
    <col min="10" max="10" width="32.28515625" bestFit="1" customWidth="1"/>
  </cols>
  <sheetData>
    <row r="1" spans="1:13" x14ac:dyDescent="0.25">
      <c r="A1" s="3" t="s">
        <v>3</v>
      </c>
      <c r="B1" s="3" t="s">
        <v>0</v>
      </c>
      <c r="C1" s="3" t="s">
        <v>1</v>
      </c>
      <c r="D1" s="3" t="s">
        <v>6</v>
      </c>
      <c r="E1" s="3" t="s">
        <v>7</v>
      </c>
      <c r="F1" s="3" t="s">
        <v>4</v>
      </c>
      <c r="G1" s="3" t="s">
        <v>5</v>
      </c>
      <c r="H1" s="3" t="s">
        <v>16</v>
      </c>
      <c r="I1" s="3" t="s">
        <v>17</v>
      </c>
      <c r="J1" s="3" t="s">
        <v>18</v>
      </c>
      <c r="K1" s="3" t="s">
        <v>30</v>
      </c>
      <c r="L1" s="3" t="s">
        <v>31</v>
      </c>
      <c r="M1" s="3"/>
    </row>
    <row r="2" spans="1:13" x14ac:dyDescent="0.25">
      <c r="A2" s="4">
        <v>1001</v>
      </c>
      <c r="B2" s="4" t="s">
        <v>32</v>
      </c>
      <c r="C2" s="4" t="s">
        <v>33</v>
      </c>
      <c r="D2" s="4">
        <v>27</v>
      </c>
      <c r="E2" s="4" t="s">
        <v>9</v>
      </c>
      <c r="F2" s="4" t="s">
        <v>8</v>
      </c>
      <c r="G2" s="4">
        <v>45000</v>
      </c>
      <c r="H2" s="5">
        <v>37197</v>
      </c>
      <c r="I2" s="5">
        <v>42253</v>
      </c>
      <c r="J2" s="6" t="s">
        <v>44</v>
      </c>
      <c r="K2" s="4" t="str" cm="1">
        <f t="array" ref="K2:K10">LEFT(B2:B10, 3)</f>
        <v>Ant</v>
      </c>
      <c r="L2" s="4" t="str" cm="1">
        <f t="array" ref="L2:L10">RIGHT(A2:A10, 1)</f>
        <v>1</v>
      </c>
      <c r="M2" s="4"/>
    </row>
    <row r="3" spans="1:13" x14ac:dyDescent="0.25">
      <c r="A3" s="4">
        <v>1002</v>
      </c>
      <c r="B3" s="4" t="s">
        <v>34</v>
      </c>
      <c r="C3" s="4" t="s">
        <v>33</v>
      </c>
      <c r="D3" s="4">
        <v>52</v>
      </c>
      <c r="E3" s="4" t="s">
        <v>9</v>
      </c>
      <c r="F3" s="4" t="s">
        <v>10</v>
      </c>
      <c r="G3" s="4">
        <v>36000</v>
      </c>
      <c r="H3" s="5">
        <v>36436</v>
      </c>
      <c r="I3" s="5">
        <v>42287</v>
      </c>
      <c r="J3" s="6" t="s">
        <v>45</v>
      </c>
      <c r="K3" s="4" t="str">
        <v>Man</v>
      </c>
      <c r="L3" s="4" t="str">
        <v>2</v>
      </c>
    </row>
    <row r="4" spans="1:13" x14ac:dyDescent="0.25">
      <c r="A4" s="4">
        <v>1003</v>
      </c>
      <c r="B4" s="4" t="s">
        <v>35</v>
      </c>
      <c r="C4" s="4" t="s">
        <v>36</v>
      </c>
      <c r="D4" s="4">
        <v>50</v>
      </c>
      <c r="E4" s="4" t="s">
        <v>11</v>
      </c>
      <c r="F4" s="4" t="s">
        <v>8</v>
      </c>
      <c r="G4" s="4">
        <v>63000</v>
      </c>
      <c r="H4" s="5">
        <v>36711</v>
      </c>
      <c r="I4" s="5">
        <v>42986</v>
      </c>
      <c r="J4" s="6" t="s">
        <v>46</v>
      </c>
      <c r="K4" s="4" t="str">
        <v>Nor</v>
      </c>
      <c r="L4" s="4" t="str">
        <v>3</v>
      </c>
      <c r="M4" s="4"/>
    </row>
    <row r="5" spans="1:13" x14ac:dyDescent="0.25">
      <c r="A5" s="4">
        <v>1004</v>
      </c>
      <c r="B5" s="4" t="s">
        <v>37</v>
      </c>
      <c r="C5" s="4" t="s">
        <v>33</v>
      </c>
      <c r="D5" s="4">
        <v>24</v>
      </c>
      <c r="E5" s="4" t="s">
        <v>11</v>
      </c>
      <c r="F5" s="4" t="s">
        <v>12</v>
      </c>
      <c r="G5" s="4">
        <v>47000</v>
      </c>
      <c r="H5" s="5">
        <v>36530</v>
      </c>
      <c r="I5" s="5">
        <v>42341</v>
      </c>
      <c r="J5" s="6" t="s">
        <v>47</v>
      </c>
      <c r="K5" s="4" t="str">
        <v>Nin</v>
      </c>
      <c r="L5" s="4" t="str">
        <v>4</v>
      </c>
      <c r="M5" s="4"/>
    </row>
    <row r="6" spans="1:13" x14ac:dyDescent="0.25">
      <c r="A6" s="4">
        <v>1005</v>
      </c>
      <c r="B6" s="4" t="s">
        <v>38</v>
      </c>
      <c r="C6" s="4" t="s">
        <v>33</v>
      </c>
      <c r="D6" s="4">
        <v>25</v>
      </c>
      <c r="E6" s="4" t="s">
        <v>9</v>
      </c>
      <c r="F6" s="4" t="s">
        <v>13</v>
      </c>
      <c r="G6" s="4">
        <v>50000</v>
      </c>
      <c r="H6" s="5">
        <v>37017</v>
      </c>
      <c r="I6" s="5">
        <v>42977</v>
      </c>
      <c r="J6" s="6" t="s">
        <v>48</v>
      </c>
      <c r="K6" s="4" t="str">
        <v>Jos</v>
      </c>
      <c r="L6" s="4" t="str">
        <v>5</v>
      </c>
      <c r="M6" s="4"/>
    </row>
    <row r="7" spans="1:13" x14ac:dyDescent="0.25">
      <c r="A7" s="4">
        <v>1006</v>
      </c>
      <c r="B7" s="4" t="s">
        <v>39</v>
      </c>
      <c r="C7" s="4" t="s">
        <v>33</v>
      </c>
      <c r="D7" s="4">
        <v>54</v>
      </c>
      <c r="E7" s="4" t="s">
        <v>9</v>
      </c>
      <c r="F7" s="4" t="s">
        <v>14</v>
      </c>
      <c r="G7" s="4">
        <v>65000</v>
      </c>
      <c r="H7" s="5">
        <v>35040</v>
      </c>
      <c r="I7" s="5">
        <v>41528</v>
      </c>
      <c r="J7" s="6" t="s">
        <v>49</v>
      </c>
      <c r="K7" s="4" t="str">
        <v>Vic</v>
      </c>
      <c r="L7" s="4" t="str">
        <v>6</v>
      </c>
      <c r="M7" s="4"/>
    </row>
    <row r="8" spans="1:13" x14ac:dyDescent="0.25">
      <c r="A8" s="4">
        <v>1007</v>
      </c>
      <c r="B8" s="4" t="s">
        <v>50</v>
      </c>
      <c r="C8" s="4" t="s">
        <v>40</v>
      </c>
      <c r="D8" s="4">
        <v>29</v>
      </c>
      <c r="E8" s="4" t="s">
        <v>11</v>
      </c>
      <c r="F8" s="4" t="s">
        <v>15</v>
      </c>
      <c r="G8" s="4">
        <v>41000</v>
      </c>
      <c r="H8" s="5">
        <v>37933</v>
      </c>
      <c r="I8" s="5">
        <v>41551</v>
      </c>
      <c r="J8" s="6" t="s">
        <v>51</v>
      </c>
      <c r="K8" s="4" t="str">
        <v>Ale</v>
      </c>
      <c r="L8" s="4" t="str">
        <v>7</v>
      </c>
      <c r="M8" s="4"/>
    </row>
    <row r="9" spans="1:13" x14ac:dyDescent="0.25">
      <c r="A9" s="4">
        <v>1008</v>
      </c>
      <c r="B9" s="4" t="s">
        <v>32</v>
      </c>
      <c r="C9" s="4" t="s">
        <v>41</v>
      </c>
      <c r="D9" s="4">
        <v>27</v>
      </c>
      <c r="E9" s="4" t="s">
        <v>9</v>
      </c>
      <c r="F9" s="4" t="s">
        <v>8</v>
      </c>
      <c r="G9" s="4">
        <v>48000</v>
      </c>
      <c r="H9" s="5">
        <v>37416</v>
      </c>
      <c r="I9" s="5">
        <v>42116</v>
      </c>
      <c r="J9" s="6" t="s">
        <v>52</v>
      </c>
      <c r="K9" s="4" t="str">
        <v>Ant</v>
      </c>
      <c r="L9" s="4" t="str">
        <v>8</v>
      </c>
      <c r="M9" s="4"/>
    </row>
    <row r="10" spans="1:13" x14ac:dyDescent="0.25">
      <c r="A10" s="4">
        <v>1009</v>
      </c>
      <c r="B10" s="4" t="s">
        <v>42</v>
      </c>
      <c r="C10" s="4" t="s">
        <v>43</v>
      </c>
      <c r="D10" s="4">
        <v>28</v>
      </c>
      <c r="E10" s="4" t="s">
        <v>9</v>
      </c>
      <c r="F10" s="4" t="s">
        <v>12</v>
      </c>
      <c r="G10" s="4">
        <v>42000</v>
      </c>
      <c r="H10" s="5">
        <v>37843</v>
      </c>
      <c r="I10" s="5">
        <v>40800</v>
      </c>
      <c r="J10" s="6" t="s">
        <v>53</v>
      </c>
      <c r="K10" s="4" t="str">
        <v>Mar</v>
      </c>
      <c r="L10" s="4" t="str">
        <v>9</v>
      </c>
      <c r="M10" s="4"/>
    </row>
    <row r="11" spans="1:13" x14ac:dyDescent="0.25">
      <c r="J11" s="7"/>
    </row>
  </sheetData>
  <hyperlinks>
    <hyperlink ref="J2" r:id="rId1" xr:uid="{534842C7-8AAE-47A1-A445-7924C19FE350}"/>
    <hyperlink ref="J3:J10" r:id="rId2" display="thonyalope@gmail.com" xr:uid="{2B678759-D8C2-4791-BFFA-487D882CF6BA}"/>
    <hyperlink ref="J3" r:id="rId3" xr:uid="{10598461-68C0-4279-B1D1-97E1C9A3C0DA}"/>
    <hyperlink ref="J4" r:id="rId4" xr:uid="{B6BEACDE-1D94-48B5-9545-A0CBC46CF0D7}"/>
    <hyperlink ref="J5" r:id="rId5" xr:uid="{7B9C85C0-9545-49B2-B4D8-4C31758B0B12}"/>
    <hyperlink ref="J6" r:id="rId6" xr:uid="{540EB763-5D52-4406-B36E-C27B156BC1AE}"/>
    <hyperlink ref="J7" r:id="rId7" xr:uid="{1E3D8402-FD9A-4AE9-BC8D-57058BEFA70C}"/>
    <hyperlink ref="J8" r:id="rId8" xr:uid="{7E025395-6343-4607-B8FB-9ADACE4F1447}"/>
    <hyperlink ref="J9" r:id="rId9" xr:uid="{6146D0BD-2495-4713-8E6B-1A43DA6B0156}"/>
    <hyperlink ref="J10" r:id="rId10" xr:uid="{A6CDD8E0-10E7-40B9-8B2D-7EFDB33CCF6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4"/>
  </sheetPr>
  <dimension ref="A1:K13"/>
  <sheetViews>
    <sheetView workbookViewId="0">
      <selection activeCell="J22" sqref="J2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17.42578125" bestFit="1" customWidth="1"/>
    <col min="10" max="10" width="23" bestFit="1" customWidth="1"/>
  </cols>
  <sheetData>
    <row r="1" spans="1:11" x14ac:dyDescent="0.25">
      <c r="A1" s="4" t="s">
        <v>3</v>
      </c>
      <c r="B1" s="4" t="s">
        <v>0</v>
      </c>
      <c r="C1" s="4" t="s">
        <v>1</v>
      </c>
      <c r="D1" s="4" t="s">
        <v>6</v>
      </c>
      <c r="E1" s="4" t="s">
        <v>7</v>
      </c>
      <c r="F1" s="4" t="s">
        <v>4</v>
      </c>
      <c r="G1" s="4" t="s">
        <v>5</v>
      </c>
      <c r="H1" s="4" t="s">
        <v>16</v>
      </c>
      <c r="I1" s="4" t="s">
        <v>17</v>
      </c>
      <c r="J1" s="4" t="s">
        <v>19</v>
      </c>
    </row>
    <row r="2" spans="1:11" x14ac:dyDescent="0.25">
      <c r="A2" s="4">
        <v>1001</v>
      </c>
      <c r="B2" s="4" t="s">
        <v>32</v>
      </c>
      <c r="C2" s="4" t="s">
        <v>33</v>
      </c>
      <c r="D2" s="4">
        <v>27</v>
      </c>
      <c r="E2" s="4" t="s">
        <v>9</v>
      </c>
      <c r="F2" s="4" t="s">
        <v>8</v>
      </c>
      <c r="G2" s="4">
        <v>45000</v>
      </c>
      <c r="H2" s="5">
        <v>37197</v>
      </c>
      <c r="I2" s="5">
        <v>42253</v>
      </c>
      <c r="J2" s="4" t="str" cm="1">
        <f t="array" ref="J2:J10">TEXT(H2:H10, "dd/mm/yyyy")</f>
        <v>02/11/2001</v>
      </c>
      <c r="K2" s="2"/>
    </row>
    <row r="3" spans="1:11" x14ac:dyDescent="0.25">
      <c r="A3" s="4">
        <v>1002</v>
      </c>
      <c r="B3" s="4" t="s">
        <v>34</v>
      </c>
      <c r="C3" s="4" t="s">
        <v>33</v>
      </c>
      <c r="D3" s="4">
        <v>52</v>
      </c>
      <c r="E3" s="4" t="s">
        <v>9</v>
      </c>
      <c r="F3" s="4" t="s">
        <v>10</v>
      </c>
      <c r="G3" s="4">
        <v>36000</v>
      </c>
      <c r="H3" s="5">
        <v>36436</v>
      </c>
      <c r="I3" s="5">
        <v>42287</v>
      </c>
      <c r="J3" s="4" t="str">
        <v>03/10/1999</v>
      </c>
      <c r="K3" s="2"/>
    </row>
    <row r="4" spans="1:11" x14ac:dyDescent="0.25">
      <c r="A4" s="4">
        <v>1003</v>
      </c>
      <c r="B4" s="4" t="s">
        <v>35</v>
      </c>
      <c r="C4" s="4" t="s">
        <v>36</v>
      </c>
      <c r="D4" s="4">
        <v>50</v>
      </c>
      <c r="E4" s="4" t="s">
        <v>11</v>
      </c>
      <c r="F4" s="4" t="s">
        <v>8</v>
      </c>
      <c r="G4" s="4">
        <v>63000</v>
      </c>
      <c r="H4" s="5">
        <v>36711</v>
      </c>
      <c r="I4" s="5">
        <v>42986</v>
      </c>
      <c r="J4" s="4" t="str">
        <v>04/07/2000</v>
      </c>
      <c r="K4" s="2"/>
    </row>
    <row r="5" spans="1:11" x14ac:dyDescent="0.25">
      <c r="A5" s="4">
        <v>1004</v>
      </c>
      <c r="B5" s="4" t="s">
        <v>37</v>
      </c>
      <c r="C5" s="4" t="s">
        <v>33</v>
      </c>
      <c r="D5" s="4">
        <v>24</v>
      </c>
      <c r="E5" s="4" t="s">
        <v>11</v>
      </c>
      <c r="F5" s="4" t="s">
        <v>12</v>
      </c>
      <c r="G5" s="4">
        <v>47000</v>
      </c>
      <c r="H5" s="5">
        <v>36530</v>
      </c>
      <c r="I5" s="5">
        <v>42341</v>
      </c>
      <c r="J5" s="4" t="str">
        <v>05/01/2000</v>
      </c>
      <c r="K5" s="2"/>
    </row>
    <row r="6" spans="1:11" x14ac:dyDescent="0.25">
      <c r="A6" s="4">
        <v>1005</v>
      </c>
      <c r="B6" s="4" t="s">
        <v>38</v>
      </c>
      <c r="C6" s="4" t="s">
        <v>33</v>
      </c>
      <c r="D6" s="4">
        <v>25</v>
      </c>
      <c r="E6" s="4" t="s">
        <v>9</v>
      </c>
      <c r="F6" s="4" t="s">
        <v>13</v>
      </c>
      <c r="G6" s="4">
        <v>50000</v>
      </c>
      <c r="H6" s="5">
        <v>37017</v>
      </c>
      <c r="I6" s="5">
        <v>42977</v>
      </c>
      <c r="J6" s="4" t="str">
        <v>06/05/2001</v>
      </c>
      <c r="K6" s="2"/>
    </row>
    <row r="7" spans="1:11" x14ac:dyDescent="0.25">
      <c r="A7" s="4">
        <v>1006</v>
      </c>
      <c r="B7" s="4" t="s">
        <v>39</v>
      </c>
      <c r="C7" s="4" t="s">
        <v>33</v>
      </c>
      <c r="D7" s="4">
        <v>54</v>
      </c>
      <c r="E7" s="4" t="s">
        <v>9</v>
      </c>
      <c r="F7" s="4" t="s">
        <v>14</v>
      </c>
      <c r="G7" s="4">
        <v>65000</v>
      </c>
      <c r="H7" s="5">
        <v>35040</v>
      </c>
      <c r="I7" s="5">
        <v>41528</v>
      </c>
      <c r="J7" s="4" t="str">
        <v>07/12/1995</v>
      </c>
      <c r="K7" s="2"/>
    </row>
    <row r="8" spans="1:11" x14ac:dyDescent="0.25">
      <c r="A8" s="4">
        <v>1007</v>
      </c>
      <c r="B8" s="4" t="s">
        <v>50</v>
      </c>
      <c r="C8" s="4" t="s">
        <v>40</v>
      </c>
      <c r="D8" s="4">
        <v>29</v>
      </c>
      <c r="E8" s="4" t="s">
        <v>11</v>
      </c>
      <c r="F8" s="4" t="s">
        <v>15</v>
      </c>
      <c r="G8" s="4">
        <v>41000</v>
      </c>
      <c r="H8" s="5">
        <v>37933</v>
      </c>
      <c r="I8" s="5">
        <v>41551</v>
      </c>
      <c r="J8" s="4" t="str">
        <v>08/11/2003</v>
      </c>
      <c r="K8" s="2"/>
    </row>
    <row r="9" spans="1:11" x14ac:dyDescent="0.25">
      <c r="A9" s="4">
        <v>1008</v>
      </c>
      <c r="B9" s="4" t="s">
        <v>32</v>
      </c>
      <c r="C9" s="4" t="s">
        <v>41</v>
      </c>
      <c r="D9" s="4">
        <v>27</v>
      </c>
      <c r="E9" s="4" t="s">
        <v>9</v>
      </c>
      <c r="F9" s="4" t="s">
        <v>8</v>
      </c>
      <c r="G9" s="4">
        <v>48000</v>
      </c>
      <c r="H9" s="5">
        <v>37416</v>
      </c>
      <c r="I9" s="5">
        <v>42116</v>
      </c>
      <c r="J9" s="4" t="str">
        <v>09/06/2002</v>
      </c>
      <c r="K9" s="2"/>
    </row>
    <row r="10" spans="1:11" x14ac:dyDescent="0.25">
      <c r="A10" s="4">
        <v>1009</v>
      </c>
      <c r="B10" s="4" t="s">
        <v>42</v>
      </c>
      <c r="C10" s="4" t="s">
        <v>43</v>
      </c>
      <c r="D10" s="4">
        <v>28</v>
      </c>
      <c r="E10" s="4" t="s">
        <v>9</v>
      </c>
      <c r="F10" s="4" t="s">
        <v>12</v>
      </c>
      <c r="G10" s="4">
        <v>42000</v>
      </c>
      <c r="H10" s="5">
        <v>37843</v>
      </c>
      <c r="I10" s="5">
        <v>40800</v>
      </c>
      <c r="J10" s="4" t="str">
        <v>10/08/2003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4"/>
  </sheetPr>
  <dimension ref="A1:J10"/>
  <sheetViews>
    <sheetView workbookViewId="0">
      <selection activeCell="J22" sqref="J2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17.42578125" bestFit="1" customWidth="1"/>
  </cols>
  <sheetData>
    <row r="1" spans="1:10" x14ac:dyDescent="0.25">
      <c r="A1" s="3" t="s">
        <v>3</v>
      </c>
      <c r="B1" s="3" t="s">
        <v>0</v>
      </c>
      <c r="C1" s="3" t="s">
        <v>1</v>
      </c>
      <c r="D1" s="3" t="s">
        <v>6</v>
      </c>
      <c r="E1" s="3" t="s">
        <v>7</v>
      </c>
      <c r="F1" s="3" t="s">
        <v>4</v>
      </c>
      <c r="G1" s="3" t="s">
        <v>5</v>
      </c>
      <c r="H1" s="3" t="s">
        <v>16</v>
      </c>
      <c r="I1" s="3" t="s">
        <v>17</v>
      </c>
      <c r="J1" s="3" t="s">
        <v>56</v>
      </c>
    </row>
    <row r="2" spans="1:10" x14ac:dyDescent="0.25">
      <c r="A2" s="4">
        <v>1001</v>
      </c>
      <c r="B2" s="4" t="s">
        <v>32</v>
      </c>
      <c r="C2" s="4" t="s">
        <v>33</v>
      </c>
      <c r="D2" s="4">
        <v>27</v>
      </c>
      <c r="E2" s="4" t="s">
        <v>9</v>
      </c>
      <c r="F2" s="4" t="s">
        <v>8</v>
      </c>
      <c r="G2" s="4">
        <v>45000</v>
      </c>
      <c r="H2" s="5">
        <v>37197</v>
      </c>
      <c r="I2" s="5">
        <v>42253</v>
      </c>
      <c r="J2" s="4" t="str" cm="1">
        <f t="array" ref="J2:J10">TRIM(C2:C10)</f>
        <v>Vargas</v>
      </c>
    </row>
    <row r="3" spans="1:10" x14ac:dyDescent="0.25">
      <c r="A3" s="4">
        <v>1002</v>
      </c>
      <c r="B3" s="4" t="s">
        <v>34</v>
      </c>
      <c r="C3" s="4" t="s">
        <v>33</v>
      </c>
      <c r="D3" s="4">
        <v>52</v>
      </c>
      <c r="E3" s="4" t="s">
        <v>9</v>
      </c>
      <c r="F3" s="4" t="s">
        <v>10</v>
      </c>
      <c r="G3" s="4">
        <v>36000</v>
      </c>
      <c r="H3" s="5">
        <v>36436</v>
      </c>
      <c r="I3" s="5">
        <v>42287</v>
      </c>
      <c r="J3" s="4" t="str">
        <v>Vargas</v>
      </c>
    </row>
    <row r="4" spans="1:10" x14ac:dyDescent="0.25">
      <c r="A4" s="4">
        <v>1003</v>
      </c>
      <c r="B4" s="4" t="s">
        <v>35</v>
      </c>
      <c r="C4" s="4" t="s">
        <v>36</v>
      </c>
      <c r="D4" s="4">
        <v>50</v>
      </c>
      <c r="E4" s="4" t="s">
        <v>11</v>
      </c>
      <c r="F4" s="4" t="s">
        <v>8</v>
      </c>
      <c r="G4" s="4">
        <v>63000</v>
      </c>
      <c r="H4" s="5">
        <v>36711</v>
      </c>
      <c r="I4" s="5">
        <v>42986</v>
      </c>
      <c r="J4" s="4" t="str">
        <v>Alvarado</v>
      </c>
    </row>
    <row r="5" spans="1:10" x14ac:dyDescent="0.25">
      <c r="A5" s="4">
        <v>1004</v>
      </c>
      <c r="B5" s="4" t="s">
        <v>37</v>
      </c>
      <c r="C5" s="4" t="s">
        <v>33</v>
      </c>
      <c r="D5" s="4">
        <v>24</v>
      </c>
      <c r="E5" s="4" t="s">
        <v>11</v>
      </c>
      <c r="F5" s="4" t="s">
        <v>12</v>
      </c>
      <c r="G5" s="4">
        <v>47000</v>
      </c>
      <c r="H5" s="5">
        <v>36530</v>
      </c>
      <c r="I5" s="5">
        <v>42341</v>
      </c>
      <c r="J5" s="4" t="str">
        <v>Vargas</v>
      </c>
    </row>
    <row r="6" spans="1:10" x14ac:dyDescent="0.25">
      <c r="A6" s="4">
        <v>1005</v>
      </c>
      <c r="B6" s="4" t="s">
        <v>38</v>
      </c>
      <c r="C6" s="4" t="s">
        <v>33</v>
      </c>
      <c r="D6" s="4">
        <v>25</v>
      </c>
      <c r="E6" s="4" t="s">
        <v>9</v>
      </c>
      <c r="F6" s="4" t="s">
        <v>13</v>
      </c>
      <c r="G6" s="4">
        <v>50000</v>
      </c>
      <c r="H6" s="5">
        <v>37017</v>
      </c>
      <c r="I6" s="5">
        <v>42977</v>
      </c>
      <c r="J6" s="4" t="str">
        <v>Vargas</v>
      </c>
    </row>
    <row r="7" spans="1:10" x14ac:dyDescent="0.25">
      <c r="A7" s="4">
        <v>1006</v>
      </c>
      <c r="B7" s="4" t="s">
        <v>39</v>
      </c>
      <c r="C7" s="4" t="s">
        <v>33</v>
      </c>
      <c r="D7" s="4">
        <v>54</v>
      </c>
      <c r="E7" s="4" t="s">
        <v>9</v>
      </c>
      <c r="F7" s="4" t="s">
        <v>14</v>
      </c>
      <c r="G7" s="4">
        <v>65000</v>
      </c>
      <c r="H7" s="5">
        <v>35040</v>
      </c>
      <c r="I7" s="5">
        <v>41528</v>
      </c>
      <c r="J7" s="4" t="str">
        <v>Vargas</v>
      </c>
    </row>
    <row r="8" spans="1:10" x14ac:dyDescent="0.25">
      <c r="A8" s="4">
        <v>1007</v>
      </c>
      <c r="B8" s="4" t="s">
        <v>50</v>
      </c>
      <c r="C8" s="4" t="s">
        <v>40</v>
      </c>
      <c r="D8" s="4">
        <v>29</v>
      </c>
      <c r="E8" s="4" t="s">
        <v>11</v>
      </c>
      <c r="F8" s="4" t="s">
        <v>15</v>
      </c>
      <c r="G8" s="4">
        <v>41000</v>
      </c>
      <c r="H8" s="5">
        <v>37933</v>
      </c>
      <c r="I8" s="5">
        <v>41551</v>
      </c>
      <c r="J8" s="4" t="str">
        <v>Rivera</v>
      </c>
    </row>
    <row r="9" spans="1:10" x14ac:dyDescent="0.25">
      <c r="A9" s="4">
        <v>1008</v>
      </c>
      <c r="B9" s="4" t="s">
        <v>32</v>
      </c>
      <c r="C9" s="4" t="s">
        <v>41</v>
      </c>
      <c r="D9" s="4">
        <v>27</v>
      </c>
      <c r="E9" s="4" t="s">
        <v>9</v>
      </c>
      <c r="F9" s="4" t="s">
        <v>8</v>
      </c>
      <c r="G9" s="4">
        <v>48000</v>
      </c>
      <c r="H9" s="5">
        <v>37416</v>
      </c>
      <c r="I9" s="5">
        <v>42116</v>
      </c>
      <c r="J9" s="4" t="str">
        <v>Castro</v>
      </c>
    </row>
    <row r="10" spans="1:10" x14ac:dyDescent="0.25">
      <c r="A10" s="4">
        <v>1009</v>
      </c>
      <c r="B10" s="4" t="s">
        <v>42</v>
      </c>
      <c r="C10" s="4" t="s">
        <v>43</v>
      </c>
      <c r="D10" s="4">
        <v>28</v>
      </c>
      <c r="E10" s="4" t="s">
        <v>9</v>
      </c>
      <c r="F10" s="4" t="s">
        <v>12</v>
      </c>
      <c r="G10" s="4">
        <v>42000</v>
      </c>
      <c r="H10" s="5">
        <v>37843</v>
      </c>
      <c r="I10" s="5">
        <v>40800</v>
      </c>
      <c r="J10" s="4" t="str">
        <v>Chinchilla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4"/>
  </sheetPr>
  <dimension ref="A1:J12"/>
  <sheetViews>
    <sheetView workbookViewId="0">
      <selection activeCell="J15" sqref="J15"/>
    </sheetView>
  </sheetViews>
  <sheetFormatPr defaultRowHeight="15" x14ac:dyDescent="0.25"/>
  <cols>
    <col min="2" max="2" width="10.42578125" customWidth="1"/>
    <col min="3" max="5" width="10.7109375" customWidth="1"/>
    <col min="6" max="6" width="18.7109375" customWidth="1"/>
    <col min="8" max="8" width="14.28515625" customWidth="1"/>
    <col min="9" max="9" width="14.7109375" customWidth="1"/>
    <col min="10" max="10" width="22" bestFit="1" customWidth="1"/>
  </cols>
  <sheetData>
    <row r="1" spans="1:10" x14ac:dyDescent="0.25">
      <c r="A1" s="3" t="s">
        <v>3</v>
      </c>
      <c r="B1" s="3" t="s">
        <v>0</v>
      </c>
      <c r="C1" s="3" t="s">
        <v>1</v>
      </c>
      <c r="D1" s="3" t="s">
        <v>6</v>
      </c>
      <c r="E1" s="3" t="s">
        <v>7</v>
      </c>
      <c r="F1" s="3" t="s">
        <v>4</v>
      </c>
      <c r="G1" s="3" t="s">
        <v>5</v>
      </c>
      <c r="H1" s="3" t="s">
        <v>16</v>
      </c>
      <c r="I1" s="3" t="s">
        <v>17</v>
      </c>
      <c r="J1" s="3" t="s">
        <v>57</v>
      </c>
    </row>
    <row r="2" spans="1:10" x14ac:dyDescent="0.25">
      <c r="A2" s="4">
        <v>1001</v>
      </c>
      <c r="B2" s="4" t="s">
        <v>32</v>
      </c>
      <c r="C2" s="4" t="s">
        <v>33</v>
      </c>
      <c r="D2" s="4">
        <v>27</v>
      </c>
      <c r="E2" s="4" t="s">
        <v>9</v>
      </c>
      <c r="F2" s="4" t="s">
        <v>8</v>
      </c>
      <c r="G2" s="4">
        <v>45000</v>
      </c>
      <c r="H2" s="5">
        <v>37197</v>
      </c>
      <c r="I2" s="5">
        <v>42253</v>
      </c>
      <c r="J2" s="4" t="str">
        <f>CONCATENATE(B2," ",C2)</f>
        <v>Anthony Vargas</v>
      </c>
    </row>
    <row r="3" spans="1:10" x14ac:dyDescent="0.25">
      <c r="A3" s="4">
        <v>1002</v>
      </c>
      <c r="B3" s="4" t="s">
        <v>34</v>
      </c>
      <c r="C3" s="4" t="s">
        <v>33</v>
      </c>
      <c r="D3" s="4">
        <v>52</v>
      </c>
      <c r="E3" s="4" t="s">
        <v>9</v>
      </c>
      <c r="F3" s="4" t="s">
        <v>10</v>
      </c>
      <c r="G3" s="4">
        <v>36000</v>
      </c>
      <c r="H3" s="5">
        <v>36436</v>
      </c>
      <c r="I3" s="5">
        <v>42287</v>
      </c>
      <c r="J3" s="4" t="str">
        <f t="shared" ref="J3:J10" si="0">CONCATENATE(B3," ",C3)</f>
        <v>Manuel Vargas</v>
      </c>
    </row>
    <row r="4" spans="1:10" x14ac:dyDescent="0.25">
      <c r="A4" s="4">
        <v>1003</v>
      </c>
      <c r="B4" s="4" t="s">
        <v>35</v>
      </c>
      <c r="C4" s="4" t="s">
        <v>36</v>
      </c>
      <c r="D4" s="4">
        <v>50</v>
      </c>
      <c r="E4" s="4" t="s">
        <v>11</v>
      </c>
      <c r="F4" s="4" t="s">
        <v>8</v>
      </c>
      <c r="G4" s="4">
        <v>63000</v>
      </c>
      <c r="H4" s="5">
        <v>36711</v>
      </c>
      <c r="I4" s="5">
        <v>42986</v>
      </c>
      <c r="J4" s="4" t="str">
        <f t="shared" si="0"/>
        <v>Norma Alvarado</v>
      </c>
    </row>
    <row r="5" spans="1:10" x14ac:dyDescent="0.25">
      <c r="A5" s="4">
        <v>1004</v>
      </c>
      <c r="B5" s="4" t="s">
        <v>37</v>
      </c>
      <c r="C5" s="4" t="s">
        <v>33</v>
      </c>
      <c r="D5" s="4">
        <v>24</v>
      </c>
      <c r="E5" s="4" t="s">
        <v>11</v>
      </c>
      <c r="F5" s="4" t="s">
        <v>12</v>
      </c>
      <c r="G5" s="4">
        <v>47000</v>
      </c>
      <c r="H5" s="5">
        <v>36530</v>
      </c>
      <c r="I5" s="5">
        <v>42341</v>
      </c>
      <c r="J5" s="4" t="str">
        <f t="shared" si="0"/>
        <v>Ninoska Vargas</v>
      </c>
    </row>
    <row r="6" spans="1:10" x14ac:dyDescent="0.25">
      <c r="A6" s="4">
        <v>1005</v>
      </c>
      <c r="B6" s="4" t="s">
        <v>38</v>
      </c>
      <c r="C6" s="4" t="s">
        <v>33</v>
      </c>
      <c r="D6" s="4">
        <v>25</v>
      </c>
      <c r="E6" s="4" t="s">
        <v>9</v>
      </c>
      <c r="F6" s="4" t="s">
        <v>13</v>
      </c>
      <c r="G6" s="4">
        <v>50000</v>
      </c>
      <c r="H6" s="5">
        <v>37017</v>
      </c>
      <c r="I6" s="5">
        <v>42977</v>
      </c>
      <c r="J6" s="4" t="str">
        <f t="shared" si="0"/>
        <v>Josafat Vargas</v>
      </c>
    </row>
    <row r="7" spans="1:10" x14ac:dyDescent="0.25">
      <c r="A7" s="4">
        <v>1006</v>
      </c>
      <c r="B7" s="4" t="s">
        <v>39</v>
      </c>
      <c r="C7" s="4" t="s">
        <v>33</v>
      </c>
      <c r="D7" s="4">
        <v>54</v>
      </c>
      <c r="E7" s="4" t="s">
        <v>9</v>
      </c>
      <c r="F7" s="4" t="s">
        <v>14</v>
      </c>
      <c r="G7" s="4">
        <v>65000</v>
      </c>
      <c r="H7" s="5">
        <v>35040</v>
      </c>
      <c r="I7" s="5">
        <v>41528</v>
      </c>
      <c r="J7" s="4" t="str">
        <f t="shared" si="0"/>
        <v>Victor Vargas</v>
      </c>
    </row>
    <row r="8" spans="1:10" x14ac:dyDescent="0.25">
      <c r="A8" s="4">
        <v>1007</v>
      </c>
      <c r="B8" s="4" t="s">
        <v>50</v>
      </c>
      <c r="C8" s="4" t="s">
        <v>40</v>
      </c>
      <c r="D8" s="4">
        <v>29</v>
      </c>
      <c r="E8" s="4" t="s">
        <v>11</v>
      </c>
      <c r="F8" s="4" t="s">
        <v>15</v>
      </c>
      <c r="G8" s="4">
        <v>41000</v>
      </c>
      <c r="H8" s="5">
        <v>37933</v>
      </c>
      <c r="I8" s="5">
        <v>41551</v>
      </c>
      <c r="J8" s="4" t="str">
        <f t="shared" si="0"/>
        <v>Alejandro Rivera</v>
      </c>
    </row>
    <row r="9" spans="1:10" x14ac:dyDescent="0.25">
      <c r="A9" s="4">
        <v>1008</v>
      </c>
      <c r="B9" s="4" t="s">
        <v>32</v>
      </c>
      <c r="C9" s="4" t="s">
        <v>41</v>
      </c>
      <c r="D9" s="4">
        <v>27</v>
      </c>
      <c r="E9" s="4" t="s">
        <v>9</v>
      </c>
      <c r="F9" s="4" t="s">
        <v>8</v>
      </c>
      <c r="G9" s="4">
        <v>48000</v>
      </c>
      <c r="H9" s="5">
        <v>37416</v>
      </c>
      <c r="I9" s="5">
        <v>42116</v>
      </c>
      <c r="J9" s="4" t="str">
        <f t="shared" si="0"/>
        <v>Anthony Castro</v>
      </c>
    </row>
    <row r="10" spans="1:10" x14ac:dyDescent="0.25">
      <c r="A10" s="4">
        <v>1009</v>
      </c>
      <c r="B10" s="4" t="s">
        <v>42</v>
      </c>
      <c r="C10" s="4" t="s">
        <v>43</v>
      </c>
      <c r="D10" s="4">
        <v>28</v>
      </c>
      <c r="E10" s="4" t="s">
        <v>9</v>
      </c>
      <c r="F10" s="4" t="s">
        <v>12</v>
      </c>
      <c r="G10" s="4">
        <v>42000</v>
      </c>
      <c r="H10" s="5">
        <v>37843</v>
      </c>
      <c r="I10" s="5">
        <v>40800</v>
      </c>
      <c r="J10" s="4" t="str">
        <f t="shared" si="0"/>
        <v>Marco Chinchilla</v>
      </c>
    </row>
    <row r="11" spans="1:10" x14ac:dyDescent="0.25">
      <c r="H11" t="str">
        <f t="shared" ref="H11:H12" si="1">CONCATENATE(B11," ",C11)</f>
        <v xml:space="preserve"> </v>
      </c>
    </row>
    <row r="12" spans="1:10" x14ac:dyDescent="0.25">
      <c r="H12" t="str">
        <f t="shared" si="1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4"/>
  </sheetPr>
  <dimension ref="A1:L10"/>
  <sheetViews>
    <sheetView workbookViewId="0">
      <selection activeCell="H16" sqref="H16"/>
    </sheetView>
  </sheetViews>
  <sheetFormatPr defaultColWidth="13" defaultRowHeight="15" x14ac:dyDescent="0.25"/>
  <cols>
    <col min="6" max="6" width="17.42578125" bestFit="1" customWidth="1"/>
  </cols>
  <sheetData>
    <row r="1" spans="1:12" x14ac:dyDescent="0.25">
      <c r="A1" s="3" t="s">
        <v>3</v>
      </c>
      <c r="B1" s="3" t="s">
        <v>0</v>
      </c>
      <c r="C1" s="3" t="s">
        <v>1</v>
      </c>
      <c r="D1" s="3" t="s">
        <v>6</v>
      </c>
      <c r="E1" s="3" t="s">
        <v>7</v>
      </c>
      <c r="F1" s="3" t="s">
        <v>4</v>
      </c>
      <c r="G1" s="3" t="s">
        <v>5</v>
      </c>
      <c r="H1" s="3" t="s">
        <v>16</v>
      </c>
      <c r="I1" s="3" t="s">
        <v>17</v>
      </c>
      <c r="J1" s="3" t="s">
        <v>20</v>
      </c>
      <c r="K1" s="3" t="s">
        <v>21</v>
      </c>
      <c r="L1" s="3" t="s">
        <v>22</v>
      </c>
    </row>
    <row r="2" spans="1:12" x14ac:dyDescent="0.25">
      <c r="A2" s="4">
        <v>1001</v>
      </c>
      <c r="B2" s="4" t="s">
        <v>32</v>
      </c>
      <c r="C2" s="4" t="s">
        <v>33</v>
      </c>
      <c r="D2" s="4">
        <v>27</v>
      </c>
      <c r="E2" s="4" t="s">
        <v>9</v>
      </c>
      <c r="F2" s="4" t="s">
        <v>8</v>
      </c>
      <c r="G2" s="4">
        <v>45000</v>
      </c>
      <c r="H2" s="5">
        <v>37197</v>
      </c>
      <c r="I2" s="5">
        <v>42253</v>
      </c>
      <c r="J2" s="4">
        <f>SUM(G2:G10)</f>
        <v>437000</v>
      </c>
      <c r="K2" s="4">
        <f>SUMIF(G2:G10, "&gt;50000")</f>
        <v>128000</v>
      </c>
      <c r="L2" s="4">
        <f>SUMIFS(G2:G10,E2:E10,"Female",D2:D10,"&gt;30")</f>
        <v>63000</v>
      </c>
    </row>
    <row r="3" spans="1:12" x14ac:dyDescent="0.25">
      <c r="A3" s="4">
        <v>1002</v>
      </c>
      <c r="B3" s="4" t="s">
        <v>34</v>
      </c>
      <c r="C3" s="4" t="s">
        <v>33</v>
      </c>
      <c r="D3" s="4">
        <v>52</v>
      </c>
      <c r="E3" s="4" t="s">
        <v>9</v>
      </c>
      <c r="F3" s="4" t="s">
        <v>10</v>
      </c>
      <c r="G3" s="4">
        <v>36000</v>
      </c>
      <c r="H3" s="5">
        <v>36436</v>
      </c>
      <c r="I3" s="5">
        <v>42287</v>
      </c>
      <c r="J3" s="4"/>
      <c r="K3" s="4"/>
      <c r="L3" s="4"/>
    </row>
    <row r="4" spans="1:12" x14ac:dyDescent="0.25">
      <c r="A4" s="4">
        <v>1003</v>
      </c>
      <c r="B4" s="4" t="s">
        <v>35</v>
      </c>
      <c r="C4" s="4" t="s">
        <v>36</v>
      </c>
      <c r="D4" s="4">
        <v>50</v>
      </c>
      <c r="E4" s="4" t="s">
        <v>11</v>
      </c>
      <c r="F4" s="4" t="s">
        <v>8</v>
      </c>
      <c r="G4" s="4">
        <v>63000</v>
      </c>
      <c r="H4" s="5">
        <v>36711</v>
      </c>
      <c r="I4" s="5">
        <v>42986</v>
      </c>
      <c r="J4" s="4"/>
      <c r="K4" s="4"/>
      <c r="L4" s="4"/>
    </row>
    <row r="5" spans="1:12" x14ac:dyDescent="0.25">
      <c r="A5" s="4">
        <v>1004</v>
      </c>
      <c r="B5" s="4" t="s">
        <v>37</v>
      </c>
      <c r="C5" s="4" t="s">
        <v>33</v>
      </c>
      <c r="D5" s="4">
        <v>24</v>
      </c>
      <c r="E5" s="4" t="s">
        <v>11</v>
      </c>
      <c r="F5" s="4" t="s">
        <v>12</v>
      </c>
      <c r="G5" s="4">
        <v>47000</v>
      </c>
      <c r="H5" s="5">
        <v>36530</v>
      </c>
      <c r="I5" s="5">
        <v>42341</v>
      </c>
      <c r="J5" s="4"/>
      <c r="K5" s="4"/>
      <c r="L5" s="4"/>
    </row>
    <row r="6" spans="1:12" x14ac:dyDescent="0.25">
      <c r="A6" s="4">
        <v>1005</v>
      </c>
      <c r="B6" s="4" t="s">
        <v>38</v>
      </c>
      <c r="C6" s="4" t="s">
        <v>33</v>
      </c>
      <c r="D6" s="4">
        <v>25</v>
      </c>
      <c r="E6" s="4" t="s">
        <v>9</v>
      </c>
      <c r="F6" s="4" t="s">
        <v>13</v>
      </c>
      <c r="G6" s="4">
        <v>50000</v>
      </c>
      <c r="H6" s="5">
        <v>37017</v>
      </c>
      <c r="I6" s="5">
        <v>42977</v>
      </c>
      <c r="J6" s="4"/>
      <c r="K6" s="4"/>
      <c r="L6" s="4"/>
    </row>
    <row r="7" spans="1:12" x14ac:dyDescent="0.25">
      <c r="A7" s="4">
        <v>1006</v>
      </c>
      <c r="B7" s="4" t="s">
        <v>39</v>
      </c>
      <c r="C7" s="4" t="s">
        <v>33</v>
      </c>
      <c r="D7" s="4">
        <v>54</v>
      </c>
      <c r="E7" s="4" t="s">
        <v>9</v>
      </c>
      <c r="F7" s="4" t="s">
        <v>14</v>
      </c>
      <c r="G7" s="4">
        <v>65000</v>
      </c>
      <c r="H7" s="5">
        <v>35040</v>
      </c>
      <c r="I7" s="5">
        <v>41528</v>
      </c>
      <c r="J7" s="4"/>
      <c r="K7" s="4"/>
      <c r="L7" s="4"/>
    </row>
    <row r="8" spans="1:12" x14ac:dyDescent="0.25">
      <c r="A8" s="4">
        <v>1007</v>
      </c>
      <c r="B8" s="4" t="s">
        <v>50</v>
      </c>
      <c r="C8" s="4" t="s">
        <v>40</v>
      </c>
      <c r="D8" s="4">
        <v>29</v>
      </c>
      <c r="E8" s="4" t="s">
        <v>11</v>
      </c>
      <c r="F8" s="4" t="s">
        <v>15</v>
      </c>
      <c r="G8" s="4">
        <v>41000</v>
      </c>
      <c r="H8" s="5">
        <v>37933</v>
      </c>
      <c r="I8" s="5">
        <v>41551</v>
      </c>
      <c r="J8" s="4"/>
      <c r="K8" s="4"/>
      <c r="L8" s="4"/>
    </row>
    <row r="9" spans="1:12" x14ac:dyDescent="0.25">
      <c r="A9" s="4">
        <v>1008</v>
      </c>
      <c r="B9" s="4" t="s">
        <v>32</v>
      </c>
      <c r="C9" s="4" t="s">
        <v>41</v>
      </c>
      <c r="D9" s="4">
        <v>27</v>
      </c>
      <c r="E9" s="4" t="s">
        <v>9</v>
      </c>
      <c r="F9" s="4" t="s">
        <v>8</v>
      </c>
      <c r="G9" s="4">
        <v>48000</v>
      </c>
      <c r="H9" s="5">
        <v>37416</v>
      </c>
      <c r="I9" s="5">
        <v>42116</v>
      </c>
      <c r="J9" s="4"/>
      <c r="K9" s="4"/>
      <c r="L9" s="4"/>
    </row>
    <row r="10" spans="1:12" x14ac:dyDescent="0.25">
      <c r="A10" s="4">
        <v>1009</v>
      </c>
      <c r="B10" s="4" t="s">
        <v>42</v>
      </c>
      <c r="C10" s="4" t="s">
        <v>43</v>
      </c>
      <c r="D10" s="4">
        <v>28</v>
      </c>
      <c r="E10" s="4" t="s">
        <v>9</v>
      </c>
      <c r="F10" s="4" t="s">
        <v>12</v>
      </c>
      <c r="G10" s="4">
        <v>42000</v>
      </c>
      <c r="H10" s="5">
        <v>37843</v>
      </c>
      <c r="I10" s="5">
        <v>40800</v>
      </c>
      <c r="J10" s="4"/>
      <c r="K10" s="4"/>
      <c r="L1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4"/>
  </sheetPr>
  <dimension ref="A1:L1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17.42578125" bestFit="1" customWidth="1"/>
  </cols>
  <sheetData>
    <row r="1" spans="1:12" x14ac:dyDescent="0.25">
      <c r="A1" s="3" t="s">
        <v>3</v>
      </c>
      <c r="B1" s="3" t="s">
        <v>0</v>
      </c>
      <c r="C1" s="3" t="s">
        <v>1</v>
      </c>
      <c r="D1" s="3" t="s">
        <v>6</v>
      </c>
      <c r="E1" s="3" t="s">
        <v>7</v>
      </c>
      <c r="F1" s="3" t="s">
        <v>4</v>
      </c>
      <c r="G1" s="3" t="s">
        <v>5</v>
      </c>
      <c r="H1" s="3" t="s">
        <v>16</v>
      </c>
      <c r="I1" s="3" t="s">
        <v>17</v>
      </c>
      <c r="J1" s="3" t="s">
        <v>23</v>
      </c>
      <c r="K1" s="3" t="s">
        <v>24</v>
      </c>
      <c r="L1" s="3" t="s">
        <v>25</v>
      </c>
    </row>
    <row r="2" spans="1:12" x14ac:dyDescent="0.25">
      <c r="A2" s="4">
        <v>1001</v>
      </c>
      <c r="B2" s="4" t="s">
        <v>32</v>
      </c>
      <c r="C2" s="4" t="s">
        <v>33</v>
      </c>
      <c r="D2" s="4">
        <v>27</v>
      </c>
      <c r="E2" s="4" t="s">
        <v>9</v>
      </c>
      <c r="F2" s="4" t="s">
        <v>8</v>
      </c>
      <c r="G2" s="4">
        <v>45000</v>
      </c>
      <c r="H2" s="5">
        <v>37197</v>
      </c>
      <c r="I2" s="5">
        <v>42253</v>
      </c>
      <c r="J2" s="4">
        <f>COUNT(G2:G10)</f>
        <v>9</v>
      </c>
      <c r="K2" s="4">
        <f>COUNTIF(G2:G10,"&gt;45000")</f>
        <v>5</v>
      </c>
      <c r="L2" s="4">
        <f>COUNTIFS(A2:A10,"&gt;1005",E2:E10,"Male")</f>
        <v>3</v>
      </c>
    </row>
    <row r="3" spans="1:12" x14ac:dyDescent="0.25">
      <c r="A3" s="4">
        <v>1002</v>
      </c>
      <c r="B3" s="4" t="s">
        <v>34</v>
      </c>
      <c r="C3" s="4" t="s">
        <v>33</v>
      </c>
      <c r="D3" s="4">
        <v>52</v>
      </c>
      <c r="E3" s="4" t="s">
        <v>9</v>
      </c>
      <c r="F3" s="4" t="s">
        <v>10</v>
      </c>
      <c r="G3" s="4">
        <v>36000</v>
      </c>
      <c r="H3" s="5">
        <v>36436</v>
      </c>
      <c r="I3" s="5">
        <v>42287</v>
      </c>
      <c r="J3" s="4"/>
      <c r="K3" s="4"/>
      <c r="L3" s="4"/>
    </row>
    <row r="4" spans="1:12" x14ac:dyDescent="0.25">
      <c r="A4" s="4">
        <v>1003</v>
      </c>
      <c r="B4" s="4" t="s">
        <v>35</v>
      </c>
      <c r="C4" s="4" t="s">
        <v>36</v>
      </c>
      <c r="D4" s="4">
        <v>50</v>
      </c>
      <c r="E4" s="4" t="s">
        <v>11</v>
      </c>
      <c r="F4" s="4" t="s">
        <v>8</v>
      </c>
      <c r="G4" s="4">
        <v>63000</v>
      </c>
      <c r="H4" s="5">
        <v>36711</v>
      </c>
      <c r="I4" s="5">
        <v>42986</v>
      </c>
      <c r="J4" s="4"/>
      <c r="K4" s="4"/>
      <c r="L4" s="4"/>
    </row>
    <row r="5" spans="1:12" x14ac:dyDescent="0.25">
      <c r="A5" s="4">
        <v>1004</v>
      </c>
      <c r="B5" s="4" t="s">
        <v>37</v>
      </c>
      <c r="C5" s="4" t="s">
        <v>33</v>
      </c>
      <c r="D5" s="4">
        <v>24</v>
      </c>
      <c r="E5" s="4" t="s">
        <v>11</v>
      </c>
      <c r="F5" s="4" t="s">
        <v>12</v>
      </c>
      <c r="G5" s="4">
        <v>47000</v>
      </c>
      <c r="H5" s="5">
        <v>36530</v>
      </c>
      <c r="I5" s="5">
        <v>42341</v>
      </c>
      <c r="J5" s="4"/>
      <c r="K5" s="4"/>
      <c r="L5" s="4"/>
    </row>
    <row r="6" spans="1:12" x14ac:dyDescent="0.25">
      <c r="A6" s="4">
        <v>1005</v>
      </c>
      <c r="B6" s="4" t="s">
        <v>38</v>
      </c>
      <c r="C6" s="4" t="s">
        <v>33</v>
      </c>
      <c r="D6" s="4">
        <v>25</v>
      </c>
      <c r="E6" s="4" t="s">
        <v>9</v>
      </c>
      <c r="F6" s="4" t="s">
        <v>13</v>
      </c>
      <c r="G6" s="4">
        <v>50000</v>
      </c>
      <c r="H6" s="5">
        <v>37017</v>
      </c>
      <c r="I6" s="5">
        <v>42977</v>
      </c>
      <c r="J6" s="4"/>
      <c r="K6" s="4"/>
      <c r="L6" s="4"/>
    </row>
    <row r="7" spans="1:12" x14ac:dyDescent="0.25">
      <c r="A7" s="4">
        <v>1006</v>
      </c>
      <c r="B7" s="4" t="s">
        <v>39</v>
      </c>
      <c r="C7" s="4" t="s">
        <v>33</v>
      </c>
      <c r="D7" s="4">
        <v>54</v>
      </c>
      <c r="E7" s="4" t="s">
        <v>9</v>
      </c>
      <c r="F7" s="4" t="s">
        <v>14</v>
      </c>
      <c r="G7" s="4">
        <v>65000</v>
      </c>
      <c r="H7" s="5">
        <v>35040</v>
      </c>
      <c r="I7" s="5">
        <v>41528</v>
      </c>
      <c r="J7" s="4"/>
      <c r="K7" s="4"/>
      <c r="L7" s="4"/>
    </row>
    <row r="8" spans="1:12" x14ac:dyDescent="0.25">
      <c r="A8" s="4">
        <v>1007</v>
      </c>
      <c r="B8" s="4" t="s">
        <v>50</v>
      </c>
      <c r="C8" s="4" t="s">
        <v>40</v>
      </c>
      <c r="D8" s="4">
        <v>29</v>
      </c>
      <c r="E8" s="4" t="s">
        <v>11</v>
      </c>
      <c r="F8" s="4" t="s">
        <v>15</v>
      </c>
      <c r="G8" s="4">
        <v>41000</v>
      </c>
      <c r="H8" s="5">
        <v>37933</v>
      </c>
      <c r="I8" s="5">
        <v>41551</v>
      </c>
      <c r="J8" s="4"/>
      <c r="K8" s="4"/>
      <c r="L8" s="4"/>
    </row>
    <row r="9" spans="1:12" x14ac:dyDescent="0.25">
      <c r="A9" s="4">
        <v>1008</v>
      </c>
      <c r="B9" s="4" t="s">
        <v>32</v>
      </c>
      <c r="C9" s="4" t="s">
        <v>41</v>
      </c>
      <c r="D9" s="4">
        <v>27</v>
      </c>
      <c r="E9" s="4" t="s">
        <v>9</v>
      </c>
      <c r="F9" s="4" t="s">
        <v>8</v>
      </c>
      <c r="G9" s="4">
        <v>48000</v>
      </c>
      <c r="H9" s="5">
        <v>37416</v>
      </c>
      <c r="I9" s="5">
        <v>42116</v>
      </c>
      <c r="J9" s="4"/>
      <c r="K9" s="4"/>
      <c r="L9" s="4"/>
    </row>
    <row r="10" spans="1:12" x14ac:dyDescent="0.25">
      <c r="A10" s="4">
        <v>1009</v>
      </c>
      <c r="B10" s="4" t="s">
        <v>42</v>
      </c>
      <c r="C10" s="4" t="s">
        <v>43</v>
      </c>
      <c r="D10" s="4">
        <v>28</v>
      </c>
      <c r="E10" s="4" t="s">
        <v>9</v>
      </c>
      <c r="F10" s="4" t="s">
        <v>12</v>
      </c>
      <c r="G10" s="4">
        <v>42000</v>
      </c>
      <c r="H10" s="5">
        <v>37843</v>
      </c>
      <c r="I10" s="5">
        <v>40800</v>
      </c>
      <c r="J10" s="4"/>
      <c r="K10" s="4"/>
      <c r="L1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4"/>
  </sheetPr>
  <dimension ref="A1:K10"/>
  <sheetViews>
    <sheetView tabSelected="1" workbookViewId="0">
      <selection activeCell="H30" sqref="H30"/>
    </sheetView>
  </sheetViews>
  <sheetFormatPr defaultRowHeight="15" x14ac:dyDescent="0.25"/>
  <cols>
    <col min="1" max="1" width="11.7109375" customWidth="1"/>
    <col min="2" max="2" width="11.5703125" customWidth="1"/>
    <col min="3" max="3" width="13.7109375" customWidth="1"/>
    <col min="6" max="6" width="17.42578125" bestFit="1" customWidth="1"/>
    <col min="8" max="8" width="14.42578125" customWidth="1"/>
    <col min="9" max="9" width="13.28515625" customWidth="1"/>
    <col min="11" max="11" width="14.7109375" bestFit="1" customWidth="1"/>
  </cols>
  <sheetData>
    <row r="1" spans="1:11" x14ac:dyDescent="0.25">
      <c r="A1" s="3" t="s">
        <v>3</v>
      </c>
      <c r="B1" s="3" t="s">
        <v>0</v>
      </c>
      <c r="C1" s="3" t="s">
        <v>1</v>
      </c>
      <c r="D1" s="3" t="s">
        <v>6</v>
      </c>
      <c r="E1" s="3" t="s">
        <v>7</v>
      </c>
      <c r="F1" s="3" t="s">
        <v>4</v>
      </c>
      <c r="G1" s="3" t="s">
        <v>5</v>
      </c>
      <c r="H1" s="3" t="s">
        <v>16</v>
      </c>
      <c r="I1" s="3" t="s">
        <v>17</v>
      </c>
      <c r="J1" s="3" t="s">
        <v>28</v>
      </c>
      <c r="K1" s="3" t="s">
        <v>29</v>
      </c>
    </row>
    <row r="2" spans="1:11" x14ac:dyDescent="0.25">
      <c r="A2" s="4">
        <v>1001</v>
      </c>
      <c r="B2" s="4" t="s">
        <v>32</v>
      </c>
      <c r="C2" s="4" t="s">
        <v>33</v>
      </c>
      <c r="D2" s="4">
        <v>27</v>
      </c>
      <c r="E2" s="4" t="s">
        <v>9</v>
      </c>
      <c r="F2" s="4" t="s">
        <v>8</v>
      </c>
      <c r="G2" s="4">
        <v>45000</v>
      </c>
      <c r="H2" s="5">
        <v>37197</v>
      </c>
      <c r="I2" s="5">
        <v>42253</v>
      </c>
      <c r="J2" s="4">
        <f>_xlfn.DAYS(I2,H2)</f>
        <v>5056</v>
      </c>
      <c r="K2" s="4">
        <f>NETWORKDAYS(H2,I2)</f>
        <v>3611</v>
      </c>
    </row>
    <row r="3" spans="1:11" x14ac:dyDescent="0.25">
      <c r="A3" s="4">
        <v>1002</v>
      </c>
      <c r="B3" s="4" t="s">
        <v>34</v>
      </c>
      <c r="C3" s="4" t="s">
        <v>33</v>
      </c>
      <c r="D3" s="4">
        <v>52</v>
      </c>
      <c r="E3" s="4" t="s">
        <v>9</v>
      </c>
      <c r="F3" s="4" t="s">
        <v>10</v>
      </c>
      <c r="G3" s="4">
        <v>36000</v>
      </c>
      <c r="H3" s="5">
        <v>36436</v>
      </c>
      <c r="I3" s="5">
        <v>42287</v>
      </c>
      <c r="J3" s="4">
        <f t="shared" ref="J3:J10" si="0">_xlfn.DAYS(I3,H3)</f>
        <v>5851</v>
      </c>
      <c r="K3" s="4">
        <f t="shared" ref="K3:K10" si="1">NETWORKDAYS(H3,I3)</f>
        <v>4180</v>
      </c>
    </row>
    <row r="4" spans="1:11" x14ac:dyDescent="0.25">
      <c r="A4" s="4">
        <v>1003</v>
      </c>
      <c r="B4" s="4" t="s">
        <v>35</v>
      </c>
      <c r="C4" s="4" t="s">
        <v>36</v>
      </c>
      <c r="D4" s="4">
        <v>50</v>
      </c>
      <c r="E4" s="4" t="s">
        <v>11</v>
      </c>
      <c r="F4" s="4" t="s">
        <v>8</v>
      </c>
      <c r="G4" s="4">
        <v>63000</v>
      </c>
      <c r="H4" s="5">
        <v>36711</v>
      </c>
      <c r="I4" s="5">
        <v>42986</v>
      </c>
      <c r="J4" s="4">
        <f t="shared" si="0"/>
        <v>6275</v>
      </c>
      <c r="K4" s="4">
        <f t="shared" si="1"/>
        <v>4484</v>
      </c>
    </row>
    <row r="5" spans="1:11" x14ac:dyDescent="0.25">
      <c r="A5" s="4">
        <v>1004</v>
      </c>
      <c r="B5" s="4" t="s">
        <v>37</v>
      </c>
      <c r="C5" s="4" t="s">
        <v>33</v>
      </c>
      <c r="D5" s="4">
        <v>24</v>
      </c>
      <c r="E5" s="4" t="s">
        <v>11</v>
      </c>
      <c r="F5" s="4" t="s">
        <v>12</v>
      </c>
      <c r="G5" s="4">
        <v>47000</v>
      </c>
      <c r="H5" s="5">
        <v>36530</v>
      </c>
      <c r="I5" s="5">
        <v>42341</v>
      </c>
      <c r="J5" s="4">
        <f t="shared" si="0"/>
        <v>5811</v>
      </c>
      <c r="K5" s="4">
        <f t="shared" si="1"/>
        <v>4152</v>
      </c>
    </row>
    <row r="6" spans="1:11" x14ac:dyDescent="0.25">
      <c r="A6" s="4">
        <v>1005</v>
      </c>
      <c r="B6" s="4" t="s">
        <v>38</v>
      </c>
      <c r="C6" s="4" t="s">
        <v>33</v>
      </c>
      <c r="D6" s="4">
        <v>25</v>
      </c>
      <c r="E6" s="4" t="s">
        <v>9</v>
      </c>
      <c r="F6" s="4" t="s">
        <v>13</v>
      </c>
      <c r="G6" s="4">
        <v>50000</v>
      </c>
      <c r="H6" s="5">
        <v>37017</v>
      </c>
      <c r="I6" s="5">
        <v>42977</v>
      </c>
      <c r="J6" s="4">
        <f t="shared" si="0"/>
        <v>5960</v>
      </c>
      <c r="K6" s="4">
        <f t="shared" si="1"/>
        <v>4258</v>
      </c>
    </row>
    <row r="7" spans="1:11" x14ac:dyDescent="0.25">
      <c r="A7" s="4">
        <v>1006</v>
      </c>
      <c r="B7" s="4" t="s">
        <v>39</v>
      </c>
      <c r="C7" s="4" t="s">
        <v>33</v>
      </c>
      <c r="D7" s="4">
        <v>54</v>
      </c>
      <c r="E7" s="4" t="s">
        <v>9</v>
      </c>
      <c r="F7" s="4" t="s">
        <v>14</v>
      </c>
      <c r="G7" s="4">
        <v>65000</v>
      </c>
      <c r="H7" s="5">
        <v>35040</v>
      </c>
      <c r="I7" s="5">
        <v>41528</v>
      </c>
      <c r="J7" s="4">
        <f t="shared" si="0"/>
        <v>6488</v>
      </c>
      <c r="K7" s="4">
        <f t="shared" si="1"/>
        <v>4635</v>
      </c>
    </row>
    <row r="8" spans="1:11" x14ac:dyDescent="0.25">
      <c r="A8" s="4">
        <v>1007</v>
      </c>
      <c r="B8" s="4" t="s">
        <v>50</v>
      </c>
      <c r="C8" s="4" t="s">
        <v>40</v>
      </c>
      <c r="D8" s="4">
        <v>29</v>
      </c>
      <c r="E8" s="4" t="s">
        <v>11</v>
      </c>
      <c r="F8" s="4" t="s">
        <v>15</v>
      </c>
      <c r="G8" s="4">
        <v>41000</v>
      </c>
      <c r="H8" s="5">
        <v>37933</v>
      </c>
      <c r="I8" s="5">
        <v>41551</v>
      </c>
      <c r="J8" s="4">
        <f t="shared" si="0"/>
        <v>3618</v>
      </c>
      <c r="K8" s="4">
        <f t="shared" si="1"/>
        <v>2585</v>
      </c>
    </row>
    <row r="9" spans="1:11" x14ac:dyDescent="0.25">
      <c r="A9" s="4">
        <v>1008</v>
      </c>
      <c r="B9" s="4" t="s">
        <v>32</v>
      </c>
      <c r="C9" s="4" t="s">
        <v>41</v>
      </c>
      <c r="D9" s="4">
        <v>27</v>
      </c>
      <c r="E9" s="4" t="s">
        <v>9</v>
      </c>
      <c r="F9" s="4" t="s">
        <v>8</v>
      </c>
      <c r="G9" s="4">
        <v>48000</v>
      </c>
      <c r="H9" s="5">
        <v>37416</v>
      </c>
      <c r="I9" s="5">
        <v>42116</v>
      </c>
      <c r="J9" s="4">
        <f t="shared" si="0"/>
        <v>4700</v>
      </c>
      <c r="K9" s="4">
        <f t="shared" si="1"/>
        <v>3358</v>
      </c>
    </row>
    <row r="10" spans="1:11" x14ac:dyDescent="0.25">
      <c r="A10" s="4">
        <v>1009</v>
      </c>
      <c r="B10" s="4" t="s">
        <v>42</v>
      </c>
      <c r="C10" s="4" t="s">
        <v>43</v>
      </c>
      <c r="D10" s="4">
        <v>28</v>
      </c>
      <c r="E10" s="4" t="s">
        <v>9</v>
      </c>
      <c r="F10" s="4" t="s">
        <v>12</v>
      </c>
      <c r="G10" s="4">
        <v>42000</v>
      </c>
      <c r="H10" s="5">
        <v>37843</v>
      </c>
      <c r="I10" s="5">
        <v>40800</v>
      </c>
      <c r="J10" s="4">
        <f t="shared" si="0"/>
        <v>2957</v>
      </c>
      <c r="K10" s="4">
        <f t="shared" si="1"/>
        <v>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MAX-MIN</vt:lpstr>
      <vt:lpstr>IF-IFS</vt:lpstr>
      <vt:lpstr>LEN</vt:lpstr>
      <vt:lpstr>LEFT-RIGHT</vt:lpstr>
      <vt:lpstr>DATETOTEXT</vt:lpstr>
      <vt:lpstr>TRIM</vt:lpstr>
      <vt:lpstr>CONCATENATE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Anthony Vargas</cp:lastModifiedBy>
  <dcterms:created xsi:type="dcterms:W3CDTF">2021-12-16T14:18:34Z</dcterms:created>
  <dcterms:modified xsi:type="dcterms:W3CDTF">2023-12-09T02:31:28Z</dcterms:modified>
</cp:coreProperties>
</file>