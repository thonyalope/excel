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onyalope\Documents\GitHub\excel\"/>
    </mc:Choice>
  </mc:AlternateContent>
  <xr:revisionPtr revIDLastSave="0" documentId="13_ncr:1_{D04F729E-E4C7-4C89-B01E-BEE753AF03BF}" xr6:coauthVersionLast="47" xr6:coauthVersionMax="47" xr10:uidLastSave="{00000000-0000-0000-0000-000000000000}"/>
  <bookViews>
    <workbookView xWindow="-105" yWindow="0" windowWidth="19410" windowHeight="15585" activeTab="1" xr2:uid="{5EA44D8F-79D3-45F5-A0F6-C7F47358B7ED}"/>
  </bookViews>
  <sheets>
    <sheet name="XLOOKUP" sheetId="1" r:id="rId1"/>
    <sheet name="XLOOKUP-MR" sheetId="2" r:id="rId2"/>
    <sheet name="XLOOKUP-EM" sheetId="3" r:id="rId3"/>
    <sheet name="XLOOKUP-S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" l="1"/>
  <c r="B4" i="4"/>
  <c r="B5" i="4"/>
  <c r="B2" i="4"/>
  <c r="I10" i="4"/>
  <c r="I9" i="4"/>
  <c r="I8" i="4"/>
  <c r="I7" i="4"/>
  <c r="I6" i="4"/>
  <c r="I5" i="4"/>
  <c r="I4" i="4"/>
  <c r="I3" i="4"/>
  <c r="I2" i="4"/>
  <c r="B3" i="3"/>
  <c r="B4" i="3"/>
  <c r="B5" i="3"/>
  <c r="B2" i="3"/>
  <c r="H10" i="3"/>
  <c r="H9" i="3"/>
  <c r="H8" i="3"/>
  <c r="H7" i="3"/>
  <c r="H6" i="3"/>
  <c r="H5" i="3"/>
  <c r="H4" i="3"/>
  <c r="H3" i="3"/>
  <c r="H2" i="3"/>
  <c r="B3" i="2" a="1"/>
  <c r="B3" i="2" s="1"/>
  <c r="B4" i="2" a="1"/>
  <c r="B4" i="2" s="1"/>
  <c r="B5" i="2" a="1"/>
  <c r="B5" i="2" s="1"/>
  <c r="B2" i="2" a="1"/>
  <c r="B2" i="2" s="1"/>
  <c r="I10" i="2"/>
  <c r="I9" i="2"/>
  <c r="I8" i="2"/>
  <c r="I7" i="2"/>
  <c r="I6" i="2"/>
  <c r="I5" i="2"/>
  <c r="I4" i="2"/>
  <c r="I3" i="2"/>
  <c r="I2" i="2"/>
  <c r="B3" i="1"/>
  <c r="B4" i="1"/>
  <c r="B5" i="1"/>
  <c r="B2" i="1"/>
  <c r="H3" i="1"/>
  <c r="H4" i="1"/>
  <c r="H5" i="1"/>
  <c r="H6" i="1"/>
  <c r="H7" i="1"/>
  <c r="H8" i="1"/>
  <c r="H9" i="1"/>
  <c r="H10" i="1"/>
  <c r="H2" i="1"/>
  <c r="H22" i="1"/>
  <c r="H2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<sst xmlns="http://schemas.openxmlformats.org/spreadsheetml/2006/main" count="245" uniqueCount="48">
  <si>
    <t>EmployeeID</t>
  </si>
  <si>
    <t>FirstName</t>
  </si>
  <si>
    <t>LastName</t>
  </si>
  <si>
    <t>Age</t>
  </si>
  <si>
    <t>Gender</t>
  </si>
  <si>
    <t>JobTitle</t>
  </si>
  <si>
    <t>Salary</t>
  </si>
  <si>
    <t>StartDate</t>
  </si>
  <si>
    <t>EndDate</t>
  </si>
  <si>
    <t>Email</t>
  </si>
  <si>
    <t>Male</t>
  </si>
  <si>
    <t>Salesman</t>
  </si>
  <si>
    <t>Female</t>
  </si>
  <si>
    <t>Receptionist</t>
  </si>
  <si>
    <t>Accountant</t>
  </si>
  <si>
    <t>HR</t>
  </si>
  <si>
    <t>Regional Manager</t>
  </si>
  <si>
    <t>Supplier Relations</t>
  </si>
  <si>
    <t>Full Name</t>
  </si>
  <si>
    <t>Anthony Vargas</t>
  </si>
  <si>
    <t>Manuel Vargas</t>
  </si>
  <si>
    <t>Norma Alvarado</t>
  </si>
  <si>
    <t>Ninoska Vargas</t>
  </si>
  <si>
    <t>Anthony</t>
  </si>
  <si>
    <t>Vargas</t>
  </si>
  <si>
    <t>Manuel</t>
  </si>
  <si>
    <t>Norma</t>
  </si>
  <si>
    <t>Alvarado</t>
  </si>
  <si>
    <t>Ninoska</t>
  </si>
  <si>
    <t>Josafat</t>
  </si>
  <si>
    <t>Victor</t>
  </si>
  <si>
    <t>Alejandro</t>
  </si>
  <si>
    <t>Rivera</t>
  </si>
  <si>
    <t>Castro</t>
  </si>
  <si>
    <t>Marco</t>
  </si>
  <si>
    <t>Chinchilla</t>
  </si>
  <si>
    <t>thonyalope@gmail.com</t>
  </si>
  <si>
    <t>mvargas@gmail.com</t>
  </si>
  <si>
    <t>nalvarado@gmail.com</t>
  </si>
  <si>
    <t>nvargas@gmail.com</t>
  </si>
  <si>
    <t>jvargas@gmail.com</t>
  </si>
  <si>
    <t>vvargas@gmail.com</t>
  </si>
  <si>
    <t>arivera@gmail.com</t>
  </si>
  <si>
    <t>acastro@gmail.com</t>
  </si>
  <si>
    <t>mchinchilla@gmail.com</t>
  </si>
  <si>
    <t>Code</t>
  </si>
  <si>
    <t>Start Date</t>
  </si>
  <si>
    <t>Person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</si>
</sst>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14" fontId="1" fillId="0" borderId="0" xfId="1" applyNumberFormat="1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rivera@gmail.com" TargetMode="External"/><Relationship Id="rId3" Type="http://schemas.openxmlformats.org/officeDocument/2006/relationships/hyperlink" Target="mailto:mvargas@gmail.com" TargetMode="External"/><Relationship Id="rId7" Type="http://schemas.openxmlformats.org/officeDocument/2006/relationships/hyperlink" Target="mailto:vvargas@gmail.com" TargetMode="External"/><Relationship Id="rId2" Type="http://schemas.openxmlformats.org/officeDocument/2006/relationships/hyperlink" Target="mailto:thonyalope@gmail.com" TargetMode="External"/><Relationship Id="rId1" Type="http://schemas.openxmlformats.org/officeDocument/2006/relationships/hyperlink" Target="mailto:thonyalope@gmail.com" TargetMode="External"/><Relationship Id="rId6" Type="http://schemas.openxmlformats.org/officeDocument/2006/relationships/hyperlink" Target="mailto:jvargas@gmail.com" TargetMode="External"/><Relationship Id="rId5" Type="http://schemas.openxmlformats.org/officeDocument/2006/relationships/hyperlink" Target="mailto:nvargas@gmail.com" TargetMode="External"/><Relationship Id="rId10" Type="http://schemas.openxmlformats.org/officeDocument/2006/relationships/hyperlink" Target="mailto:mchinchilla@gmail.com" TargetMode="External"/><Relationship Id="rId4" Type="http://schemas.openxmlformats.org/officeDocument/2006/relationships/hyperlink" Target="mailto:nalvarado@gmail.com" TargetMode="External"/><Relationship Id="rId9" Type="http://schemas.openxmlformats.org/officeDocument/2006/relationships/hyperlink" Target="mailto:acastro@gmai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arivera@gmail.com" TargetMode="External"/><Relationship Id="rId3" Type="http://schemas.openxmlformats.org/officeDocument/2006/relationships/hyperlink" Target="mailto:mvargas@gmail.com" TargetMode="External"/><Relationship Id="rId7" Type="http://schemas.openxmlformats.org/officeDocument/2006/relationships/hyperlink" Target="mailto:vvargas@gmail.com" TargetMode="External"/><Relationship Id="rId2" Type="http://schemas.openxmlformats.org/officeDocument/2006/relationships/hyperlink" Target="mailto:thonyalope@gmail.com" TargetMode="External"/><Relationship Id="rId1" Type="http://schemas.openxmlformats.org/officeDocument/2006/relationships/hyperlink" Target="mailto:thonyalope@gmail.com" TargetMode="External"/><Relationship Id="rId6" Type="http://schemas.openxmlformats.org/officeDocument/2006/relationships/hyperlink" Target="mailto:jvargas@gmail.com" TargetMode="External"/><Relationship Id="rId5" Type="http://schemas.openxmlformats.org/officeDocument/2006/relationships/hyperlink" Target="mailto:nvargas@gmail.com" TargetMode="External"/><Relationship Id="rId10" Type="http://schemas.openxmlformats.org/officeDocument/2006/relationships/hyperlink" Target="mailto:mchinchilla@gmail.com" TargetMode="External"/><Relationship Id="rId4" Type="http://schemas.openxmlformats.org/officeDocument/2006/relationships/hyperlink" Target="mailto:nalvarado@gmail.com" TargetMode="External"/><Relationship Id="rId9" Type="http://schemas.openxmlformats.org/officeDocument/2006/relationships/hyperlink" Target="mailto:acastro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ivera@gmail.com" TargetMode="External"/><Relationship Id="rId3" Type="http://schemas.openxmlformats.org/officeDocument/2006/relationships/hyperlink" Target="mailto:mvargas@gmail.com" TargetMode="External"/><Relationship Id="rId7" Type="http://schemas.openxmlformats.org/officeDocument/2006/relationships/hyperlink" Target="mailto:vvargas@gmail.com" TargetMode="External"/><Relationship Id="rId2" Type="http://schemas.openxmlformats.org/officeDocument/2006/relationships/hyperlink" Target="mailto:thonyalope@gmail.com" TargetMode="External"/><Relationship Id="rId1" Type="http://schemas.openxmlformats.org/officeDocument/2006/relationships/hyperlink" Target="mailto:thonyalope@gmail.com" TargetMode="External"/><Relationship Id="rId6" Type="http://schemas.openxmlformats.org/officeDocument/2006/relationships/hyperlink" Target="mailto:jvargas@gmail.com" TargetMode="External"/><Relationship Id="rId5" Type="http://schemas.openxmlformats.org/officeDocument/2006/relationships/hyperlink" Target="mailto:nvargas@gmail.com" TargetMode="External"/><Relationship Id="rId10" Type="http://schemas.openxmlformats.org/officeDocument/2006/relationships/hyperlink" Target="mailto:mchinchilla@gmail.com" TargetMode="External"/><Relationship Id="rId4" Type="http://schemas.openxmlformats.org/officeDocument/2006/relationships/hyperlink" Target="mailto:nalvarado@gmail.com" TargetMode="External"/><Relationship Id="rId9" Type="http://schemas.openxmlformats.org/officeDocument/2006/relationships/hyperlink" Target="mailto:acastro@gmail.com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rivera@gmail.com" TargetMode="External"/><Relationship Id="rId3" Type="http://schemas.openxmlformats.org/officeDocument/2006/relationships/hyperlink" Target="mailto:mvargas@gmail.com" TargetMode="External"/><Relationship Id="rId7" Type="http://schemas.openxmlformats.org/officeDocument/2006/relationships/hyperlink" Target="mailto:vvargas@gmail.com" TargetMode="External"/><Relationship Id="rId2" Type="http://schemas.openxmlformats.org/officeDocument/2006/relationships/hyperlink" Target="mailto:thonyalope@gmail.com" TargetMode="External"/><Relationship Id="rId1" Type="http://schemas.openxmlformats.org/officeDocument/2006/relationships/hyperlink" Target="mailto:thonyalope@gmail.com" TargetMode="External"/><Relationship Id="rId6" Type="http://schemas.openxmlformats.org/officeDocument/2006/relationships/hyperlink" Target="mailto:jvargas@gmail.com" TargetMode="External"/><Relationship Id="rId5" Type="http://schemas.openxmlformats.org/officeDocument/2006/relationships/hyperlink" Target="mailto:nvargas@gmail.com" TargetMode="External"/><Relationship Id="rId10" Type="http://schemas.openxmlformats.org/officeDocument/2006/relationships/hyperlink" Target="mailto:mchinchilla@gmail.com" TargetMode="External"/><Relationship Id="rId4" Type="http://schemas.openxmlformats.org/officeDocument/2006/relationships/hyperlink" Target="mailto:nalvarado@gmail.com" TargetMode="External"/><Relationship Id="rId9" Type="http://schemas.openxmlformats.org/officeDocument/2006/relationships/hyperlink" Target="mailto:acastr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015F-D30F-450C-928C-DE78480974B7}">
  <sheetPr>
    <tabColor theme="4"/>
  </sheetPr>
  <dimension ref="A1:P23"/>
  <sheetViews>
    <sheetView topLeftCell="C1" workbookViewId="0">
      <selection activeCell="E1" sqref="E1:O10"/>
    </sheetView>
  </sheetViews>
  <sheetFormatPr defaultRowHeight="15" x14ac:dyDescent="0.25"/>
  <cols>
    <col min="1" max="1" width="16.140625" bestFit="1" customWidth="1"/>
    <col min="2" max="2" width="24.5703125" customWidth="1"/>
    <col min="5" max="5" width="13.42578125" customWidth="1"/>
    <col min="6" max="6" width="10" customWidth="1"/>
    <col min="7" max="7" width="9.7109375" bestFit="1" customWidth="1"/>
    <col min="8" max="8" width="15.85546875" bestFit="1" customWidth="1"/>
    <col min="11" max="11" width="17.42578125" bestFit="1" customWidth="1"/>
    <col min="12" max="12" width="15.7109375" bestFit="1" customWidth="1"/>
    <col min="13" max="13" width="22.5703125" bestFit="1" customWidth="1"/>
    <col min="14" max="14" width="10.7109375" bestFit="1" customWidth="1"/>
    <col min="15" max="15" width="22.5703125" bestFit="1" customWidth="1"/>
    <col min="16" max="16" width="40.7109375" bestFit="1" customWidth="1"/>
  </cols>
  <sheetData>
    <row r="1" spans="1:16" x14ac:dyDescent="0.25">
      <c r="A1" s="2" t="s">
        <v>18</v>
      </c>
      <c r="B1" s="2" t="s">
        <v>9</v>
      </c>
      <c r="E1" s="2" t="s">
        <v>0</v>
      </c>
      <c r="F1" s="2" t="s">
        <v>1</v>
      </c>
      <c r="G1" s="2" t="s">
        <v>2</v>
      </c>
      <c r="H1" s="2" t="s">
        <v>18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</row>
    <row r="2" spans="1:16" x14ac:dyDescent="0.25">
      <c r="A2" s="3" t="s">
        <v>19</v>
      </c>
      <c r="B2" s="3" t="str">
        <f>_xlfn.XLOOKUP(A2,H2:H10,O2:O10)</f>
        <v>thonyalope@gmail.com</v>
      </c>
      <c r="E2" s="3">
        <v>1001</v>
      </c>
      <c r="F2" s="3" t="s">
        <v>23</v>
      </c>
      <c r="G2" s="3" t="s">
        <v>24</v>
      </c>
      <c r="H2" s="3" t="str">
        <f>CONCATENATE(F2," ", G2)</f>
        <v>Anthony Vargas</v>
      </c>
      <c r="I2" s="3">
        <v>27</v>
      </c>
      <c r="J2" s="3" t="s">
        <v>10</v>
      </c>
      <c r="K2" s="3" t="s">
        <v>11</v>
      </c>
      <c r="L2" s="3">
        <v>45000</v>
      </c>
      <c r="M2" s="4">
        <v>37197</v>
      </c>
      <c r="N2" s="4">
        <v>42253</v>
      </c>
      <c r="O2" s="5" t="s">
        <v>36</v>
      </c>
      <c r="P2" s="1"/>
    </row>
    <row r="3" spans="1:16" x14ac:dyDescent="0.25">
      <c r="A3" s="3" t="s">
        <v>20</v>
      </c>
      <c r="B3" s="3" t="str">
        <f>_xlfn.XLOOKUP(A3,H3:H11,O3:O11)</f>
        <v>mvargas@gmail.com</v>
      </c>
      <c r="E3" s="3">
        <v>1002</v>
      </c>
      <c r="F3" s="3" t="s">
        <v>25</v>
      </c>
      <c r="G3" s="3" t="s">
        <v>24</v>
      </c>
      <c r="H3" s="3" t="str">
        <f t="shared" ref="H3:H10" si="0">CONCATENATE(F3," ", G3)</f>
        <v>Manuel Vargas</v>
      </c>
      <c r="I3" s="3">
        <v>52</v>
      </c>
      <c r="J3" s="3" t="s">
        <v>10</v>
      </c>
      <c r="K3" s="3" t="s">
        <v>13</v>
      </c>
      <c r="L3" s="3">
        <v>36000</v>
      </c>
      <c r="M3" s="4">
        <v>36436</v>
      </c>
      <c r="N3" s="4">
        <v>42287</v>
      </c>
      <c r="O3" s="5" t="s">
        <v>37</v>
      </c>
      <c r="P3" s="1"/>
    </row>
    <row r="4" spans="1:16" x14ac:dyDescent="0.25">
      <c r="A4" s="3" t="s">
        <v>21</v>
      </c>
      <c r="B4" s="3" t="str">
        <f>_xlfn.XLOOKUP(A4,H4:H12,O4:O12)</f>
        <v>nalvarado@gmail.com</v>
      </c>
      <c r="E4" s="3">
        <v>1003</v>
      </c>
      <c r="F4" s="3" t="s">
        <v>26</v>
      </c>
      <c r="G4" s="3" t="s">
        <v>27</v>
      </c>
      <c r="H4" s="3" t="str">
        <f t="shared" si="0"/>
        <v>Norma Alvarado</v>
      </c>
      <c r="I4" s="3">
        <v>50</v>
      </c>
      <c r="J4" s="3" t="s">
        <v>12</v>
      </c>
      <c r="K4" s="3" t="s">
        <v>11</v>
      </c>
      <c r="L4" s="3">
        <v>63000</v>
      </c>
      <c r="M4" s="4">
        <v>36711</v>
      </c>
      <c r="N4" s="4">
        <v>42986</v>
      </c>
      <c r="O4" s="5" t="s">
        <v>38</v>
      </c>
      <c r="P4" s="1"/>
    </row>
    <row r="5" spans="1:16" x14ac:dyDescent="0.25">
      <c r="A5" s="3" t="s">
        <v>22</v>
      </c>
      <c r="B5" s="3" t="str">
        <f>_xlfn.XLOOKUP(A5,H5:H13,O5:O13)</f>
        <v>nvargas@gmail.com</v>
      </c>
      <c r="E5" s="3">
        <v>1004</v>
      </c>
      <c r="F5" s="3" t="s">
        <v>28</v>
      </c>
      <c r="G5" s="3" t="s">
        <v>24</v>
      </c>
      <c r="H5" s="3" t="str">
        <f t="shared" si="0"/>
        <v>Ninoska Vargas</v>
      </c>
      <c r="I5" s="3">
        <v>24</v>
      </c>
      <c r="J5" s="3" t="s">
        <v>12</v>
      </c>
      <c r="K5" s="3" t="s">
        <v>14</v>
      </c>
      <c r="L5" s="3">
        <v>47000</v>
      </c>
      <c r="M5" s="4">
        <v>36530</v>
      </c>
      <c r="N5" s="4">
        <v>42341</v>
      </c>
      <c r="O5" s="5" t="s">
        <v>39</v>
      </c>
      <c r="P5" s="1"/>
    </row>
    <row r="6" spans="1:16" x14ac:dyDescent="0.25">
      <c r="E6" s="3">
        <v>1005</v>
      </c>
      <c r="F6" s="3" t="s">
        <v>29</v>
      </c>
      <c r="G6" s="3" t="s">
        <v>24</v>
      </c>
      <c r="H6" s="3" t="str">
        <f t="shared" si="0"/>
        <v>Josafat Vargas</v>
      </c>
      <c r="I6" s="3">
        <v>25</v>
      </c>
      <c r="J6" s="3" t="s">
        <v>10</v>
      </c>
      <c r="K6" s="3" t="s">
        <v>15</v>
      </c>
      <c r="L6" s="3">
        <v>50000</v>
      </c>
      <c r="M6" s="4">
        <v>37017</v>
      </c>
      <c r="N6" s="4">
        <v>42977</v>
      </c>
      <c r="O6" s="5" t="s">
        <v>40</v>
      </c>
      <c r="P6" s="1"/>
    </row>
    <row r="7" spans="1:16" x14ac:dyDescent="0.25">
      <c r="E7" s="3">
        <v>1006</v>
      </c>
      <c r="F7" s="3" t="s">
        <v>30</v>
      </c>
      <c r="G7" s="3" t="s">
        <v>24</v>
      </c>
      <c r="H7" s="3" t="str">
        <f t="shared" si="0"/>
        <v>Victor Vargas</v>
      </c>
      <c r="I7" s="3">
        <v>54</v>
      </c>
      <c r="J7" s="3" t="s">
        <v>10</v>
      </c>
      <c r="K7" s="3" t="s">
        <v>16</v>
      </c>
      <c r="L7" s="3">
        <v>65000</v>
      </c>
      <c r="M7" s="4">
        <v>35040</v>
      </c>
      <c r="N7" s="4">
        <v>41528</v>
      </c>
      <c r="O7" s="5" t="s">
        <v>41</v>
      </c>
      <c r="P7" s="1"/>
    </row>
    <row r="8" spans="1:16" x14ac:dyDescent="0.25">
      <c r="E8" s="3">
        <v>1007</v>
      </c>
      <c r="F8" s="3" t="s">
        <v>31</v>
      </c>
      <c r="G8" s="3" t="s">
        <v>32</v>
      </c>
      <c r="H8" s="3" t="str">
        <f t="shared" si="0"/>
        <v>Alejandro Rivera</v>
      </c>
      <c r="I8" s="3">
        <v>29</v>
      </c>
      <c r="J8" s="3" t="s">
        <v>12</v>
      </c>
      <c r="K8" s="3" t="s">
        <v>17</v>
      </c>
      <c r="L8" s="3">
        <v>41000</v>
      </c>
      <c r="M8" s="4">
        <v>37933</v>
      </c>
      <c r="N8" s="4">
        <v>41551</v>
      </c>
      <c r="O8" s="5" t="s">
        <v>42</v>
      </c>
      <c r="P8" s="1"/>
    </row>
    <row r="9" spans="1:16" x14ac:dyDescent="0.25">
      <c r="E9" s="3">
        <v>1008</v>
      </c>
      <c r="F9" s="3" t="s">
        <v>23</v>
      </c>
      <c r="G9" s="3" t="s">
        <v>33</v>
      </c>
      <c r="H9" s="3" t="str">
        <f t="shared" si="0"/>
        <v>Anthony Castro</v>
      </c>
      <c r="I9" s="3">
        <v>27</v>
      </c>
      <c r="J9" s="3" t="s">
        <v>10</v>
      </c>
      <c r="K9" s="3" t="s">
        <v>11</v>
      </c>
      <c r="L9" s="3">
        <v>48000</v>
      </c>
      <c r="M9" s="4">
        <v>37416</v>
      </c>
      <c r="N9" s="4">
        <v>42116</v>
      </c>
      <c r="O9" s="5" t="s">
        <v>43</v>
      </c>
      <c r="P9" s="1"/>
    </row>
    <row r="10" spans="1:16" x14ac:dyDescent="0.25">
      <c r="E10" s="3">
        <v>1009</v>
      </c>
      <c r="F10" s="3" t="s">
        <v>34</v>
      </c>
      <c r="G10" s="3" t="s">
        <v>35</v>
      </c>
      <c r="H10" s="3" t="str">
        <f t="shared" si="0"/>
        <v>Marco Chinchilla</v>
      </c>
      <c r="I10" s="3">
        <v>28</v>
      </c>
      <c r="J10" s="3" t="s">
        <v>10</v>
      </c>
      <c r="K10" s="3" t="s">
        <v>14</v>
      </c>
      <c r="L10" s="3">
        <v>42000</v>
      </c>
      <c r="M10" s="4">
        <v>37843</v>
      </c>
      <c r="N10" s="4">
        <v>40800</v>
      </c>
      <c r="O10" s="5" t="s">
        <v>44</v>
      </c>
      <c r="P10" s="1"/>
    </row>
    <row r="22" spans="8:8" x14ac:dyDescent="0.25">
      <c r="H22" t="str">
        <f t="shared" ref="H22:H23" si="1">CONCATENATE(F12," ",G12)</f>
        <v xml:space="preserve"> </v>
      </c>
    </row>
    <row r="23" spans="8:8" x14ac:dyDescent="0.25">
      <c r="H23" t="str">
        <f t="shared" si="1"/>
        <v xml:space="preserve"> </v>
      </c>
    </row>
  </sheetData>
  <hyperlinks>
    <hyperlink ref="O2" r:id="rId1" xr:uid="{1AD907F5-64F6-4950-B0BF-B2501DBA45F0}"/>
    <hyperlink ref="O3:O10" r:id="rId2" display="thonyalope@gmail.com" xr:uid="{4E409482-98BC-4802-9FE5-504A10D1BAF0}"/>
    <hyperlink ref="O3" r:id="rId3" xr:uid="{265B262E-EBAE-4543-945E-D5465D3A0E4D}"/>
    <hyperlink ref="O4" r:id="rId4" xr:uid="{E825EE98-065F-4F3C-929A-5AFF66AA9CB5}"/>
    <hyperlink ref="O5" r:id="rId5" xr:uid="{0A7A4829-1D39-4496-9DBA-2CAB87A255D1}"/>
    <hyperlink ref="O6" r:id="rId6" xr:uid="{69039CEE-930F-4B9C-947F-8CA7D37F4B98}"/>
    <hyperlink ref="O7" r:id="rId7" xr:uid="{F5DE7365-D9FF-4F66-9D43-DBEADE67D7AC}"/>
    <hyperlink ref="O8" r:id="rId8" xr:uid="{3BBEC331-341E-47AF-875E-9C8FC8A8ADB6}"/>
    <hyperlink ref="O9" r:id="rId9" xr:uid="{4D85EC3E-4BE8-4057-B31B-25EA8056C1FE}"/>
    <hyperlink ref="O10" r:id="rId10" xr:uid="{F849F6D4-2355-425F-8CC8-7B64DE7D6F1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36371-336C-4855-B116-DE4EE7FD3DFD}">
  <sheetPr>
    <tabColor theme="4"/>
  </sheetPr>
  <dimension ref="A1:P10"/>
  <sheetViews>
    <sheetView tabSelected="1" topLeftCell="G1" workbookViewId="0">
      <selection activeCell="J20" sqref="J20"/>
    </sheetView>
  </sheetViews>
  <sheetFormatPr defaultRowHeight="15" x14ac:dyDescent="0.25"/>
  <cols>
    <col min="1" max="1" width="15.42578125" bestFit="1" customWidth="1"/>
    <col min="2" max="2" width="8.42578125" bestFit="1" customWidth="1"/>
    <col min="3" max="3" width="22.5703125" bestFit="1" customWidth="1"/>
    <col min="5" max="6" width="11.7109375" bestFit="1" customWidth="1"/>
    <col min="7" max="7" width="10.140625" bestFit="1" customWidth="1"/>
    <col min="8" max="8" width="14" customWidth="1"/>
    <col min="9" max="9" width="15.85546875" bestFit="1" customWidth="1"/>
    <col min="10" max="10" width="8.85546875" customWidth="1"/>
    <col min="11" max="12" width="17.42578125" bestFit="1" customWidth="1"/>
    <col min="13" max="14" width="10.7109375" bestFit="1" customWidth="1"/>
    <col min="15" max="16" width="22.5703125" bestFit="1" customWidth="1"/>
  </cols>
  <sheetData>
    <row r="1" spans="1:16" x14ac:dyDescent="0.25">
      <c r="A1" s="2" t="s">
        <v>18</v>
      </c>
      <c r="B1" s="2" t="s">
        <v>45</v>
      </c>
      <c r="C1" s="2" t="s">
        <v>9</v>
      </c>
      <c r="D1" s="2"/>
      <c r="E1" s="2"/>
      <c r="F1" s="2" t="s">
        <v>0</v>
      </c>
      <c r="G1" s="2" t="s">
        <v>1</v>
      </c>
      <c r="H1" s="2" t="s">
        <v>2</v>
      </c>
      <c r="I1" s="2" t="s">
        <v>18</v>
      </c>
      <c r="J1" s="2" t="s">
        <v>3</v>
      </c>
      <c r="K1" s="2" t="s">
        <v>4</v>
      </c>
      <c r="L1" s="2" t="s">
        <v>5</v>
      </c>
      <c r="M1" s="2" t="s">
        <v>6</v>
      </c>
      <c r="N1" s="2" t="s">
        <v>7</v>
      </c>
      <c r="O1" s="2" t="s">
        <v>8</v>
      </c>
      <c r="P1" s="2" t="s">
        <v>9</v>
      </c>
    </row>
    <row r="2" spans="1:16" x14ac:dyDescent="0.25">
      <c r="A2" s="3" t="s">
        <v>19</v>
      </c>
      <c r="B2" s="3" cm="1">
        <f t="array" ref="B2:C2">_xlfn.XLOOKUP(A2,I2:I10,O2:P10)</f>
        <v>42253</v>
      </c>
      <c r="C2" t="str">
        <v>thonyalope@gmail.com</v>
      </c>
      <c r="F2" s="3">
        <v>1001</v>
      </c>
      <c r="G2" s="3" t="s">
        <v>23</v>
      </c>
      <c r="H2" s="3" t="s">
        <v>24</v>
      </c>
      <c r="I2" s="3" t="str">
        <f>CONCATENATE(G2," ", H2)</f>
        <v>Anthony Vargas</v>
      </c>
      <c r="J2" s="3">
        <v>27</v>
      </c>
      <c r="K2" s="3" t="s">
        <v>10</v>
      </c>
      <c r="L2" s="3" t="s">
        <v>11</v>
      </c>
      <c r="M2" s="3">
        <v>45000</v>
      </c>
      <c r="N2" s="4">
        <v>37197</v>
      </c>
      <c r="O2" s="4">
        <v>42253</v>
      </c>
      <c r="P2" s="5" t="s">
        <v>36</v>
      </c>
    </row>
    <row r="3" spans="1:16" x14ac:dyDescent="0.25">
      <c r="A3" s="3" t="s">
        <v>20</v>
      </c>
      <c r="B3" s="3" cm="1">
        <f t="array" ref="B3:C3">_xlfn.XLOOKUP(A3,I3:I11,O3:P11)</f>
        <v>42287</v>
      </c>
      <c r="C3" t="str">
        <v>mvargas@gmail.com</v>
      </c>
      <c r="F3" s="3">
        <v>1002</v>
      </c>
      <c r="G3" s="3" t="s">
        <v>25</v>
      </c>
      <c r="H3" s="3" t="s">
        <v>24</v>
      </c>
      <c r="I3" s="3" t="str">
        <f t="shared" ref="I3:I10" si="0">CONCATENATE(G3," ", H3)</f>
        <v>Manuel Vargas</v>
      </c>
      <c r="J3" s="3">
        <v>52</v>
      </c>
      <c r="K3" s="3" t="s">
        <v>10</v>
      </c>
      <c r="L3" s="3" t="s">
        <v>13</v>
      </c>
      <c r="M3" s="3">
        <v>36000</v>
      </c>
      <c r="N3" s="4">
        <v>36436</v>
      </c>
      <c r="O3" s="4">
        <v>42287</v>
      </c>
      <c r="P3" s="5" t="s">
        <v>37</v>
      </c>
    </row>
    <row r="4" spans="1:16" x14ac:dyDescent="0.25">
      <c r="A4" s="3" t="s">
        <v>21</v>
      </c>
      <c r="B4" s="3" cm="1">
        <f t="array" ref="B4:C4">_xlfn.XLOOKUP(A4,I4:I12,O4:P12)</f>
        <v>42986</v>
      </c>
      <c r="C4" t="str">
        <v>nalvarado@gmail.com</v>
      </c>
      <c r="F4" s="3">
        <v>1003</v>
      </c>
      <c r="G4" s="3" t="s">
        <v>26</v>
      </c>
      <c r="H4" s="3" t="s">
        <v>27</v>
      </c>
      <c r="I4" s="3" t="str">
        <f t="shared" si="0"/>
        <v>Norma Alvarado</v>
      </c>
      <c r="J4" s="3">
        <v>50</v>
      </c>
      <c r="K4" s="3" t="s">
        <v>12</v>
      </c>
      <c r="L4" s="3" t="s">
        <v>11</v>
      </c>
      <c r="M4" s="3">
        <v>63000</v>
      </c>
      <c r="N4" s="4">
        <v>36711</v>
      </c>
      <c r="O4" s="4">
        <v>42986</v>
      </c>
      <c r="P4" s="5" t="s">
        <v>38</v>
      </c>
    </row>
    <row r="5" spans="1:16" x14ac:dyDescent="0.25">
      <c r="A5" s="3" t="s">
        <v>22</v>
      </c>
      <c r="B5" s="3" cm="1">
        <f t="array" ref="B5:C5">_xlfn.XLOOKUP(A5,I5:I13,O5:P13)</f>
        <v>42341</v>
      </c>
      <c r="C5" t="str">
        <v>nvargas@gmail.com</v>
      </c>
      <c r="F5" s="3">
        <v>1004</v>
      </c>
      <c r="G5" s="3" t="s">
        <v>28</v>
      </c>
      <c r="H5" s="3" t="s">
        <v>24</v>
      </c>
      <c r="I5" s="3" t="str">
        <f t="shared" si="0"/>
        <v>Ninoska Vargas</v>
      </c>
      <c r="J5" s="3">
        <v>24</v>
      </c>
      <c r="K5" s="3" t="s">
        <v>12</v>
      </c>
      <c r="L5" s="3" t="s">
        <v>14</v>
      </c>
      <c r="M5" s="3">
        <v>47000</v>
      </c>
      <c r="N5" s="4">
        <v>36530</v>
      </c>
      <c r="O5" s="4">
        <v>42341</v>
      </c>
      <c r="P5" s="5" t="s">
        <v>39</v>
      </c>
    </row>
    <row r="6" spans="1:16" x14ac:dyDescent="0.25">
      <c r="F6" s="3">
        <v>1005</v>
      </c>
      <c r="G6" s="3" t="s">
        <v>29</v>
      </c>
      <c r="H6" s="3" t="s">
        <v>24</v>
      </c>
      <c r="I6" s="3" t="str">
        <f t="shared" si="0"/>
        <v>Josafat Vargas</v>
      </c>
      <c r="J6" s="3">
        <v>25</v>
      </c>
      <c r="K6" s="3" t="s">
        <v>10</v>
      </c>
      <c r="L6" s="3" t="s">
        <v>15</v>
      </c>
      <c r="M6" s="3">
        <v>50000</v>
      </c>
      <c r="N6" s="4">
        <v>37017</v>
      </c>
      <c r="O6" s="4">
        <v>42977</v>
      </c>
      <c r="P6" s="5" t="s">
        <v>40</v>
      </c>
    </row>
    <row r="7" spans="1:16" x14ac:dyDescent="0.25">
      <c r="F7" s="3">
        <v>1006</v>
      </c>
      <c r="G7" s="3" t="s">
        <v>30</v>
      </c>
      <c r="H7" s="3" t="s">
        <v>24</v>
      </c>
      <c r="I7" s="3" t="str">
        <f t="shared" si="0"/>
        <v>Victor Vargas</v>
      </c>
      <c r="J7" s="3">
        <v>54</v>
      </c>
      <c r="K7" s="3" t="s">
        <v>10</v>
      </c>
      <c r="L7" s="3" t="s">
        <v>16</v>
      </c>
      <c r="M7" s="3">
        <v>65000</v>
      </c>
      <c r="N7" s="4">
        <v>35040</v>
      </c>
      <c r="O7" s="4">
        <v>41528</v>
      </c>
      <c r="P7" s="5" t="s">
        <v>41</v>
      </c>
    </row>
    <row r="8" spans="1:16" x14ac:dyDescent="0.25">
      <c r="F8" s="3">
        <v>1007</v>
      </c>
      <c r="G8" s="3" t="s">
        <v>31</v>
      </c>
      <c r="H8" s="3" t="s">
        <v>32</v>
      </c>
      <c r="I8" s="3" t="str">
        <f t="shared" si="0"/>
        <v>Alejandro Rivera</v>
      </c>
      <c r="J8" s="3">
        <v>29</v>
      </c>
      <c r="K8" s="3" t="s">
        <v>12</v>
      </c>
      <c r="L8" s="3" t="s">
        <v>17</v>
      </c>
      <c r="M8" s="3">
        <v>41000</v>
      </c>
      <c r="N8" s="4">
        <v>37933</v>
      </c>
      <c r="O8" s="4">
        <v>41551</v>
      </c>
      <c r="P8" s="5" t="s">
        <v>42</v>
      </c>
    </row>
    <row r="9" spans="1:16" x14ac:dyDescent="0.25">
      <c r="F9" s="3">
        <v>1008</v>
      </c>
      <c r="G9" s="3" t="s">
        <v>23</v>
      </c>
      <c r="H9" s="3" t="s">
        <v>33</v>
      </c>
      <c r="I9" s="3" t="str">
        <f t="shared" si="0"/>
        <v>Anthony Castro</v>
      </c>
      <c r="J9" s="3">
        <v>27</v>
      </c>
      <c r="K9" s="3" t="s">
        <v>10</v>
      </c>
      <c r="L9" s="3" t="s">
        <v>11</v>
      </c>
      <c r="M9" s="3">
        <v>48000</v>
      </c>
      <c r="N9" s="4">
        <v>37416</v>
      </c>
      <c r="O9" s="4">
        <v>42116</v>
      </c>
      <c r="P9" s="5" t="s">
        <v>43</v>
      </c>
    </row>
    <row r="10" spans="1:16" x14ac:dyDescent="0.25">
      <c r="F10" s="3">
        <v>1009</v>
      </c>
      <c r="G10" s="3" t="s">
        <v>34</v>
      </c>
      <c r="H10" s="3" t="s">
        <v>35</v>
      </c>
      <c r="I10" s="3" t="str">
        <f t="shared" si="0"/>
        <v>Marco Chinchilla</v>
      </c>
      <c r="J10" s="3">
        <v>28</v>
      </c>
      <c r="K10" s="3" t="s">
        <v>10</v>
      </c>
      <c r="L10" s="3" t="s">
        <v>14</v>
      </c>
      <c r="M10" s="3">
        <v>42000</v>
      </c>
      <c r="N10" s="4">
        <v>37843</v>
      </c>
      <c r="O10" s="4">
        <v>40800</v>
      </c>
      <c r="P10" s="5" t="s">
        <v>44</v>
      </c>
    </row>
  </sheetData>
  <hyperlinks>
    <hyperlink ref="P2" r:id="rId1" xr:uid="{C041AF95-825C-40CA-AA4A-DB7B546368CF}"/>
    <hyperlink ref="P3:P10" r:id="rId2" display="thonyalope@gmail.com" xr:uid="{E07E5134-E26A-4837-BA33-269F22F497F0}"/>
    <hyperlink ref="P3" r:id="rId3" xr:uid="{1DCAAA67-87E9-4CD2-85DA-D66F6390DABC}"/>
    <hyperlink ref="P4" r:id="rId4" xr:uid="{9BEFBAFE-5C73-43E9-9E73-0B5CCD8182BB}"/>
    <hyperlink ref="P5" r:id="rId5" xr:uid="{76279058-BC6A-45E3-9917-D96A3E2B787E}"/>
    <hyperlink ref="P6" r:id="rId6" xr:uid="{34C3A269-CD2F-4CA8-826D-D1B0C43F3C37}"/>
    <hyperlink ref="P7" r:id="rId7" xr:uid="{61196D30-C9C8-44AE-A27E-A86C0B2E12B5}"/>
    <hyperlink ref="P8" r:id="rId8" xr:uid="{E51F9ABF-B955-478D-9EF7-2E0EED2DFEC8}"/>
    <hyperlink ref="P9" r:id="rId9" xr:uid="{A81B17B3-3124-4348-9746-6114A18EA213}"/>
    <hyperlink ref="P10" r:id="rId10" xr:uid="{BFADDF80-B855-4115-8F31-8EC34253F44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0D109-2F94-4B82-834B-A84CD9FD39A5}">
  <sheetPr>
    <tabColor theme="4"/>
  </sheetPr>
  <dimension ref="A1:O10"/>
  <sheetViews>
    <sheetView workbookViewId="0">
      <selection activeCell="G32" sqref="G32"/>
    </sheetView>
  </sheetViews>
  <sheetFormatPr defaultRowHeight="15" x14ac:dyDescent="0.25"/>
  <cols>
    <col min="1" max="1" width="15.42578125" bestFit="1" customWidth="1"/>
    <col min="2" max="2" width="22.5703125" bestFit="1" customWidth="1"/>
    <col min="6" max="6" width="10.140625" bestFit="1" customWidth="1"/>
    <col min="7" max="7" width="11.5703125" customWidth="1"/>
    <col min="8" max="8" width="15.85546875" bestFit="1" customWidth="1"/>
    <col min="9" max="9" width="13.5703125" customWidth="1"/>
    <col min="11" max="11" width="17.42578125" bestFit="1" customWidth="1"/>
    <col min="13" max="14" width="10.7109375" bestFit="1" customWidth="1"/>
    <col min="15" max="16" width="22.5703125" bestFit="1" customWidth="1"/>
  </cols>
  <sheetData>
    <row r="1" spans="1:15" x14ac:dyDescent="0.25">
      <c r="A1" s="2" t="s">
        <v>18</v>
      </c>
      <c r="B1" s="2" t="s">
        <v>9</v>
      </c>
      <c r="C1" s="2"/>
      <c r="D1" s="2"/>
      <c r="E1" s="2" t="s">
        <v>0</v>
      </c>
      <c r="F1" s="2" t="s">
        <v>1</v>
      </c>
      <c r="G1" s="2" t="s">
        <v>2</v>
      </c>
      <c r="H1" s="2" t="s">
        <v>18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</row>
    <row r="2" spans="1:15" x14ac:dyDescent="0.25">
      <c r="A2" s="3" t="s">
        <v>19</v>
      </c>
      <c r="B2" s="3" t="str">
        <f>_xlfn.XLOOKUP(A2,H2:H10,O2:O10,"Not Found")</f>
        <v>thonyalope@gmail.com</v>
      </c>
      <c r="C2" s="3"/>
      <c r="D2" s="3"/>
      <c r="E2" s="3">
        <v>1001</v>
      </c>
      <c r="F2" s="3" t="s">
        <v>23</v>
      </c>
      <c r="G2" s="3" t="s">
        <v>24</v>
      </c>
      <c r="H2" s="3" t="str">
        <f>CONCATENATE(F2," ", G2)</f>
        <v>Anthony Vargas</v>
      </c>
      <c r="I2" s="3">
        <v>27</v>
      </c>
      <c r="J2" s="3" t="s">
        <v>10</v>
      </c>
      <c r="K2" s="3" t="s">
        <v>11</v>
      </c>
      <c r="L2" s="3">
        <v>45000</v>
      </c>
      <c r="M2" s="4">
        <v>37197</v>
      </c>
      <c r="N2" s="4">
        <v>42253</v>
      </c>
      <c r="O2" s="5" t="s">
        <v>36</v>
      </c>
    </row>
    <row r="3" spans="1:15" x14ac:dyDescent="0.25">
      <c r="A3" s="3" t="s">
        <v>20</v>
      </c>
      <c r="B3" s="3" t="str">
        <f t="shared" ref="B3:B5" si="0">_xlfn.XLOOKUP(A3,H3:H11,O3:O11,"Not Found")</f>
        <v>mvargas@gmail.com</v>
      </c>
      <c r="C3" s="3"/>
      <c r="D3" s="3"/>
      <c r="E3" s="3">
        <v>1002</v>
      </c>
      <c r="F3" s="3" t="s">
        <v>25</v>
      </c>
      <c r="G3" s="3" t="s">
        <v>24</v>
      </c>
      <c r="H3" s="3" t="str">
        <f t="shared" ref="H3:H10" si="1">CONCATENATE(F3," ", G3)</f>
        <v>Manuel Vargas</v>
      </c>
      <c r="I3" s="3">
        <v>52</v>
      </c>
      <c r="J3" s="3" t="s">
        <v>10</v>
      </c>
      <c r="K3" s="3" t="s">
        <v>13</v>
      </c>
      <c r="L3" s="3">
        <v>36000</v>
      </c>
      <c r="M3" s="4">
        <v>36436</v>
      </c>
      <c r="N3" s="4">
        <v>42287</v>
      </c>
      <c r="O3" s="5" t="s">
        <v>37</v>
      </c>
    </row>
    <row r="4" spans="1:15" x14ac:dyDescent="0.25">
      <c r="A4" s="3" t="s">
        <v>21</v>
      </c>
      <c r="B4" s="3" t="str">
        <f t="shared" si="0"/>
        <v>nalvarado@gmail.com</v>
      </c>
      <c r="C4" s="3"/>
      <c r="D4" s="3"/>
      <c r="E4" s="3">
        <v>1003</v>
      </c>
      <c r="F4" s="3" t="s">
        <v>26</v>
      </c>
      <c r="G4" s="3" t="s">
        <v>27</v>
      </c>
      <c r="H4" s="3" t="str">
        <f t="shared" si="1"/>
        <v>Norma Alvarado</v>
      </c>
      <c r="I4" s="3">
        <v>50</v>
      </c>
      <c r="J4" s="3" t="s">
        <v>12</v>
      </c>
      <c r="K4" s="3" t="s">
        <v>11</v>
      </c>
      <c r="L4" s="3">
        <v>63000</v>
      </c>
      <c r="M4" s="4">
        <v>36711</v>
      </c>
      <c r="N4" s="4">
        <v>42986</v>
      </c>
      <c r="O4" s="5" t="s">
        <v>38</v>
      </c>
    </row>
    <row r="5" spans="1:15" x14ac:dyDescent="0.25">
      <c r="A5" s="3" t="s">
        <v>22</v>
      </c>
      <c r="B5" s="3" t="str">
        <f t="shared" si="0"/>
        <v>nvargas@gmail.com</v>
      </c>
      <c r="C5" s="3"/>
      <c r="D5" s="3"/>
      <c r="E5" s="3">
        <v>1004</v>
      </c>
      <c r="F5" s="3" t="s">
        <v>28</v>
      </c>
      <c r="G5" s="3" t="s">
        <v>24</v>
      </c>
      <c r="H5" s="3" t="str">
        <f t="shared" si="1"/>
        <v>Ninoska Vargas</v>
      </c>
      <c r="I5" s="3">
        <v>24</v>
      </c>
      <c r="J5" s="3" t="s">
        <v>12</v>
      </c>
      <c r="K5" s="3" t="s">
        <v>14</v>
      </c>
      <c r="L5" s="3">
        <v>47000</v>
      </c>
      <c r="M5" s="4">
        <v>36530</v>
      </c>
      <c r="N5" s="4">
        <v>42341</v>
      </c>
      <c r="O5" s="5" t="s">
        <v>39</v>
      </c>
    </row>
    <row r="6" spans="1:15" x14ac:dyDescent="0.25">
      <c r="A6" s="3"/>
      <c r="B6" s="3"/>
      <c r="C6" s="3"/>
      <c r="D6" s="3"/>
      <c r="E6" s="3">
        <v>1005</v>
      </c>
      <c r="F6" s="3" t="s">
        <v>29</v>
      </c>
      <c r="G6" s="3" t="s">
        <v>24</v>
      </c>
      <c r="H6" s="3" t="str">
        <f t="shared" si="1"/>
        <v>Josafat Vargas</v>
      </c>
      <c r="I6" s="3">
        <v>25</v>
      </c>
      <c r="J6" s="3" t="s">
        <v>10</v>
      </c>
      <c r="K6" s="3" t="s">
        <v>15</v>
      </c>
      <c r="L6" s="3">
        <v>50000</v>
      </c>
      <c r="M6" s="4">
        <v>37017</v>
      </c>
      <c r="N6" s="4">
        <v>42977</v>
      </c>
      <c r="O6" s="5" t="s">
        <v>40</v>
      </c>
    </row>
    <row r="7" spans="1:15" x14ac:dyDescent="0.25">
      <c r="A7" s="3"/>
      <c r="B7" s="3"/>
      <c r="C7" s="3"/>
      <c r="D7" s="3"/>
      <c r="E7" s="3">
        <v>1006</v>
      </c>
      <c r="F7" s="3" t="s">
        <v>30</v>
      </c>
      <c r="G7" s="3" t="s">
        <v>24</v>
      </c>
      <c r="H7" s="3" t="str">
        <f t="shared" si="1"/>
        <v>Victor Vargas</v>
      </c>
      <c r="I7" s="3">
        <v>54</v>
      </c>
      <c r="J7" s="3" t="s">
        <v>10</v>
      </c>
      <c r="K7" s="3" t="s">
        <v>16</v>
      </c>
      <c r="L7" s="3">
        <v>65000</v>
      </c>
      <c r="M7" s="4">
        <v>35040</v>
      </c>
      <c r="N7" s="4">
        <v>41528</v>
      </c>
      <c r="O7" s="5" t="s">
        <v>41</v>
      </c>
    </row>
    <row r="8" spans="1:15" x14ac:dyDescent="0.25">
      <c r="A8" s="3"/>
      <c r="B8" s="3"/>
      <c r="C8" s="3"/>
      <c r="D8" s="3"/>
      <c r="E8" s="3">
        <v>1007</v>
      </c>
      <c r="F8" s="3" t="s">
        <v>31</v>
      </c>
      <c r="G8" s="3" t="s">
        <v>32</v>
      </c>
      <c r="H8" s="3" t="str">
        <f t="shared" si="1"/>
        <v>Alejandro Rivera</v>
      </c>
      <c r="I8" s="3">
        <v>29</v>
      </c>
      <c r="J8" s="3" t="s">
        <v>12</v>
      </c>
      <c r="K8" s="3" t="s">
        <v>17</v>
      </c>
      <c r="L8" s="3">
        <v>41000</v>
      </c>
      <c r="M8" s="4">
        <v>37933</v>
      </c>
      <c r="N8" s="4">
        <v>41551</v>
      </c>
      <c r="O8" s="5" t="s">
        <v>42</v>
      </c>
    </row>
    <row r="9" spans="1:15" x14ac:dyDescent="0.25">
      <c r="A9" s="3"/>
      <c r="B9" s="3"/>
      <c r="C9" s="3"/>
      <c r="D9" s="3"/>
      <c r="E9" s="3">
        <v>1008</v>
      </c>
      <c r="F9" s="3" t="s">
        <v>23</v>
      </c>
      <c r="G9" s="3" t="s">
        <v>33</v>
      </c>
      <c r="H9" s="3" t="str">
        <f t="shared" si="1"/>
        <v>Anthony Castro</v>
      </c>
      <c r="I9" s="3">
        <v>27</v>
      </c>
      <c r="J9" s="3" t="s">
        <v>10</v>
      </c>
      <c r="K9" s="3" t="s">
        <v>11</v>
      </c>
      <c r="L9" s="3">
        <v>48000</v>
      </c>
      <c r="M9" s="4">
        <v>37416</v>
      </c>
      <c r="N9" s="4">
        <v>42116</v>
      </c>
      <c r="O9" s="5" t="s">
        <v>43</v>
      </c>
    </row>
    <row r="10" spans="1:15" x14ac:dyDescent="0.25">
      <c r="A10" s="3"/>
      <c r="B10" s="3"/>
      <c r="C10" s="3"/>
      <c r="D10" s="3"/>
      <c r="E10" s="3">
        <v>1009</v>
      </c>
      <c r="F10" s="3" t="s">
        <v>34</v>
      </c>
      <c r="G10" s="3" t="s">
        <v>35</v>
      </c>
      <c r="H10" s="3" t="str">
        <f t="shared" si="1"/>
        <v>Marco Chinchilla</v>
      </c>
      <c r="I10" s="3">
        <v>28</v>
      </c>
      <c r="J10" s="3" t="s">
        <v>10</v>
      </c>
      <c r="K10" s="3" t="s">
        <v>14</v>
      </c>
      <c r="L10" s="3">
        <v>42000</v>
      </c>
      <c r="M10" s="4">
        <v>37843</v>
      </c>
      <c r="N10" s="4">
        <v>40800</v>
      </c>
      <c r="O10" s="5" t="s">
        <v>44</v>
      </c>
    </row>
  </sheetData>
  <hyperlinks>
    <hyperlink ref="O2" r:id="rId1" xr:uid="{BDC17127-28D1-4202-9978-FD9149BED9A0}"/>
    <hyperlink ref="O3:O10" r:id="rId2" display="thonyalope@gmail.com" xr:uid="{97E60276-5D50-40A0-A50C-D37563B7D01F}"/>
    <hyperlink ref="O3" r:id="rId3" xr:uid="{DD99356D-A1E9-4526-B0A6-9F6E4C499F3C}"/>
    <hyperlink ref="O4" r:id="rId4" xr:uid="{0191B4A6-05BA-44A5-8364-3663DCDE01F4}"/>
    <hyperlink ref="O5" r:id="rId5" xr:uid="{88E244C4-9430-4C03-A4DD-F69DB631EE2A}"/>
    <hyperlink ref="O6" r:id="rId6" xr:uid="{1B64BC68-4079-45F3-B90B-A3B397C6C4C5}"/>
    <hyperlink ref="O7" r:id="rId7" xr:uid="{C82DF6A0-064B-482D-A2FD-8A904AA362FC}"/>
    <hyperlink ref="O8" r:id="rId8" xr:uid="{80199B9D-53D1-45CA-A892-2DD7D4A37C88}"/>
    <hyperlink ref="O9" r:id="rId9" xr:uid="{A6E54DB5-6DD6-4E50-ACE6-DAC5379C25B7}"/>
    <hyperlink ref="O10" r:id="rId10" xr:uid="{69F26B6E-B792-4651-BB9B-CB176D448B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1DD7A-85E3-4D23-BE4F-B3091AD44488}">
  <sheetPr>
    <tabColor theme="4"/>
  </sheetPr>
  <dimension ref="A1:P10"/>
  <sheetViews>
    <sheetView workbookViewId="0">
      <selection activeCell="K30" sqref="K30"/>
    </sheetView>
  </sheetViews>
  <sheetFormatPr defaultRowHeight="15" x14ac:dyDescent="0.25"/>
  <cols>
    <col min="1" max="1" width="10.7109375" bestFit="1" customWidth="1"/>
    <col min="2" max="2" width="15.42578125" bestFit="1" customWidth="1"/>
    <col min="6" max="6" width="11.7109375" bestFit="1" customWidth="1"/>
    <col min="7" max="7" width="10.140625" bestFit="1" customWidth="1"/>
    <col min="8" max="8" width="9.7109375" bestFit="1" customWidth="1"/>
    <col min="9" max="9" width="15.85546875" bestFit="1" customWidth="1"/>
    <col min="11" max="11" width="9.85546875" customWidth="1"/>
    <col min="12" max="12" width="17.42578125" bestFit="1" customWidth="1"/>
    <col min="14" max="15" width="11" customWidth="1"/>
    <col min="16" max="16" width="27.42578125" customWidth="1"/>
  </cols>
  <sheetData>
    <row r="1" spans="1:16" x14ac:dyDescent="0.25">
      <c r="A1" s="2" t="s">
        <v>46</v>
      </c>
      <c r="B1" s="2" t="s">
        <v>47</v>
      </c>
      <c r="C1" s="2"/>
      <c r="D1" s="2"/>
      <c r="E1" s="2"/>
      <c r="F1" s="2" t="s">
        <v>0</v>
      </c>
      <c r="G1" s="2" t="s">
        <v>1</v>
      </c>
      <c r="H1" s="2" t="s">
        <v>2</v>
      </c>
      <c r="I1" s="2" t="s">
        <v>18</v>
      </c>
      <c r="J1" s="2" t="s">
        <v>3</v>
      </c>
      <c r="K1" s="2" t="s">
        <v>4</v>
      </c>
      <c r="L1" s="2" t="s">
        <v>5</v>
      </c>
      <c r="M1" s="2" t="s">
        <v>6</v>
      </c>
      <c r="N1" s="2" t="s">
        <v>7</v>
      </c>
      <c r="O1" s="2" t="s">
        <v>8</v>
      </c>
      <c r="P1" s="2" t="s">
        <v>9</v>
      </c>
    </row>
    <row r="2" spans="1:16" x14ac:dyDescent="0.25">
      <c r="A2" s="4">
        <v>36711</v>
      </c>
      <c r="B2" s="3" t="str">
        <f>_xlfn.XLOOKUP(A2,N2:N10,I2:I10,,1)</f>
        <v>Norma Alvarado</v>
      </c>
      <c r="C2" s="3"/>
      <c r="D2" s="3"/>
      <c r="E2" s="3"/>
      <c r="F2" s="3">
        <v>1001</v>
      </c>
      <c r="G2" s="3" t="s">
        <v>23</v>
      </c>
      <c r="H2" s="3" t="s">
        <v>24</v>
      </c>
      <c r="I2" s="3" t="str">
        <f>CONCATENATE(G2," ", H2)</f>
        <v>Anthony Vargas</v>
      </c>
      <c r="J2" s="3">
        <v>27</v>
      </c>
      <c r="K2" s="3" t="s">
        <v>10</v>
      </c>
      <c r="L2" s="3" t="s">
        <v>11</v>
      </c>
      <c r="M2" s="3">
        <v>45000</v>
      </c>
      <c r="N2" s="4">
        <v>37197</v>
      </c>
      <c r="O2" s="4">
        <v>42253</v>
      </c>
      <c r="P2" s="5" t="s">
        <v>36</v>
      </c>
    </row>
    <row r="3" spans="1:16" x14ac:dyDescent="0.25">
      <c r="A3" s="4">
        <v>35040</v>
      </c>
      <c r="B3" s="3" t="str">
        <f t="shared" ref="B3:B5" si="0">_xlfn.XLOOKUP(A3,N3:N11,I3:I11,,1)</f>
        <v>Victor Vargas</v>
      </c>
      <c r="C3" s="3"/>
      <c r="D3" s="3"/>
      <c r="E3" s="3"/>
      <c r="F3" s="3">
        <v>1002</v>
      </c>
      <c r="G3" s="3" t="s">
        <v>25</v>
      </c>
      <c r="H3" s="3" t="s">
        <v>24</v>
      </c>
      <c r="I3" s="3" t="str">
        <f t="shared" ref="I3:I10" si="1">CONCATENATE(G3," ", H3)</f>
        <v>Manuel Vargas</v>
      </c>
      <c r="J3" s="3">
        <v>52</v>
      </c>
      <c r="K3" s="3" t="s">
        <v>10</v>
      </c>
      <c r="L3" s="3" t="s">
        <v>13</v>
      </c>
      <c r="M3" s="3">
        <v>36000</v>
      </c>
      <c r="N3" s="4">
        <v>36436</v>
      </c>
      <c r="O3" s="4">
        <v>42287</v>
      </c>
      <c r="P3" s="5" t="s">
        <v>37</v>
      </c>
    </row>
    <row r="4" spans="1:16" x14ac:dyDescent="0.25">
      <c r="A4" s="4">
        <v>37416</v>
      </c>
      <c r="B4" s="3" t="str">
        <f t="shared" si="0"/>
        <v>Anthony Castro</v>
      </c>
      <c r="C4" s="3"/>
      <c r="D4" s="3"/>
      <c r="E4" s="3"/>
      <c r="F4" s="3">
        <v>1003</v>
      </c>
      <c r="G4" s="3" t="s">
        <v>26</v>
      </c>
      <c r="H4" s="3" t="s">
        <v>27</v>
      </c>
      <c r="I4" s="3" t="str">
        <f t="shared" si="1"/>
        <v>Norma Alvarado</v>
      </c>
      <c r="J4" s="3">
        <v>50</v>
      </c>
      <c r="K4" s="3" t="s">
        <v>12</v>
      </c>
      <c r="L4" s="3" t="s">
        <v>11</v>
      </c>
      <c r="M4" s="3">
        <v>63000</v>
      </c>
      <c r="N4" s="4">
        <v>36711</v>
      </c>
      <c r="O4" s="4">
        <v>42986</v>
      </c>
      <c r="P4" s="5" t="s">
        <v>38</v>
      </c>
    </row>
    <row r="5" spans="1:16" x14ac:dyDescent="0.25">
      <c r="A5" s="4">
        <v>37197</v>
      </c>
      <c r="B5" s="3" t="str">
        <f t="shared" si="0"/>
        <v>Anthony Castro</v>
      </c>
      <c r="C5" s="3"/>
      <c r="D5" s="3"/>
      <c r="E5" s="3"/>
      <c r="F5" s="3">
        <v>1004</v>
      </c>
      <c r="G5" s="3" t="s">
        <v>28</v>
      </c>
      <c r="H5" s="3" t="s">
        <v>24</v>
      </c>
      <c r="I5" s="3" t="str">
        <f t="shared" si="1"/>
        <v>Ninoska Vargas</v>
      </c>
      <c r="J5" s="3">
        <v>24</v>
      </c>
      <c r="K5" s="3" t="s">
        <v>12</v>
      </c>
      <c r="L5" s="3" t="s">
        <v>14</v>
      </c>
      <c r="M5" s="3">
        <v>47000</v>
      </c>
      <c r="N5" s="4">
        <v>36530</v>
      </c>
      <c r="O5" s="4">
        <v>42341</v>
      </c>
      <c r="P5" s="5" t="s">
        <v>39</v>
      </c>
    </row>
    <row r="6" spans="1:16" x14ac:dyDescent="0.25">
      <c r="A6" s="3"/>
      <c r="B6" s="3"/>
      <c r="C6" s="3"/>
      <c r="D6" s="3"/>
      <c r="E6" s="3"/>
      <c r="F6" s="3">
        <v>1005</v>
      </c>
      <c r="G6" s="3" t="s">
        <v>29</v>
      </c>
      <c r="H6" s="3" t="s">
        <v>24</v>
      </c>
      <c r="I6" s="3" t="str">
        <f t="shared" si="1"/>
        <v>Josafat Vargas</v>
      </c>
      <c r="J6" s="3">
        <v>25</v>
      </c>
      <c r="K6" s="3" t="s">
        <v>10</v>
      </c>
      <c r="L6" s="3" t="s">
        <v>15</v>
      </c>
      <c r="M6" s="3">
        <v>50000</v>
      </c>
      <c r="N6" s="4">
        <v>37017</v>
      </c>
      <c r="O6" s="4">
        <v>42977</v>
      </c>
      <c r="P6" s="5" t="s">
        <v>40</v>
      </c>
    </row>
    <row r="7" spans="1:16" x14ac:dyDescent="0.25">
      <c r="A7" s="3"/>
      <c r="B7" s="3"/>
      <c r="C7" s="3"/>
      <c r="D7" s="3"/>
      <c r="E7" s="3"/>
      <c r="F7" s="3">
        <v>1006</v>
      </c>
      <c r="G7" s="3" t="s">
        <v>30</v>
      </c>
      <c r="H7" s="3" t="s">
        <v>24</v>
      </c>
      <c r="I7" s="3" t="str">
        <f t="shared" si="1"/>
        <v>Victor Vargas</v>
      </c>
      <c r="J7" s="3">
        <v>54</v>
      </c>
      <c r="K7" s="3" t="s">
        <v>10</v>
      </c>
      <c r="L7" s="3" t="s">
        <v>16</v>
      </c>
      <c r="M7" s="3">
        <v>65000</v>
      </c>
      <c r="N7" s="4">
        <v>35040</v>
      </c>
      <c r="O7" s="4">
        <v>41528</v>
      </c>
      <c r="P7" s="5" t="s">
        <v>41</v>
      </c>
    </row>
    <row r="8" spans="1:16" x14ac:dyDescent="0.25">
      <c r="A8" s="3"/>
      <c r="B8" s="3"/>
      <c r="C8" s="3"/>
      <c r="D8" s="3"/>
      <c r="E8" s="3"/>
      <c r="F8" s="3">
        <v>1007</v>
      </c>
      <c r="G8" s="3" t="s">
        <v>31</v>
      </c>
      <c r="H8" s="3" t="s">
        <v>32</v>
      </c>
      <c r="I8" s="3" t="str">
        <f t="shared" si="1"/>
        <v>Alejandro Rivera</v>
      </c>
      <c r="J8" s="3">
        <v>29</v>
      </c>
      <c r="K8" s="3" t="s">
        <v>12</v>
      </c>
      <c r="L8" s="3" t="s">
        <v>17</v>
      </c>
      <c r="M8" s="3">
        <v>41000</v>
      </c>
      <c r="N8" s="4">
        <v>37933</v>
      </c>
      <c r="O8" s="4">
        <v>41551</v>
      </c>
      <c r="P8" s="5" t="s">
        <v>42</v>
      </c>
    </row>
    <row r="9" spans="1:16" x14ac:dyDescent="0.25">
      <c r="A9" s="3"/>
      <c r="B9" s="3"/>
      <c r="C9" s="3"/>
      <c r="D9" s="3"/>
      <c r="E9" s="3"/>
      <c r="F9" s="3">
        <v>1008</v>
      </c>
      <c r="G9" s="3" t="s">
        <v>23</v>
      </c>
      <c r="H9" s="3" t="s">
        <v>33</v>
      </c>
      <c r="I9" s="3" t="str">
        <f t="shared" si="1"/>
        <v>Anthony Castro</v>
      </c>
      <c r="J9" s="3">
        <v>27</v>
      </c>
      <c r="K9" s="3" t="s">
        <v>10</v>
      </c>
      <c r="L9" s="3" t="s">
        <v>11</v>
      </c>
      <c r="M9" s="3">
        <v>48000</v>
      </c>
      <c r="N9" s="4">
        <v>37416</v>
      </c>
      <c r="O9" s="4">
        <v>42116</v>
      </c>
      <c r="P9" s="5" t="s">
        <v>43</v>
      </c>
    </row>
    <row r="10" spans="1:16" x14ac:dyDescent="0.25">
      <c r="A10" s="3"/>
      <c r="B10" s="3"/>
      <c r="C10" s="3"/>
      <c r="D10" s="3"/>
      <c r="E10" s="3"/>
      <c r="F10" s="3">
        <v>1009</v>
      </c>
      <c r="G10" s="3" t="s">
        <v>34</v>
      </c>
      <c r="H10" s="3" t="s">
        <v>35</v>
      </c>
      <c r="I10" s="3" t="str">
        <f t="shared" si="1"/>
        <v>Marco Chinchilla</v>
      </c>
      <c r="J10" s="3">
        <v>28</v>
      </c>
      <c r="K10" s="3" t="s">
        <v>10</v>
      </c>
      <c r="L10" s="3" t="s">
        <v>14</v>
      </c>
      <c r="M10" s="3">
        <v>42000</v>
      </c>
      <c r="N10" s="4">
        <v>37843</v>
      </c>
      <c r="O10" s="4">
        <v>40800</v>
      </c>
      <c r="P10" s="5" t="s">
        <v>44</v>
      </c>
    </row>
  </sheetData>
  <hyperlinks>
    <hyperlink ref="P2" r:id="rId1" xr:uid="{534D22FC-3F64-4F66-94A1-266C1C3E6945}"/>
    <hyperlink ref="P3:P10" r:id="rId2" display="thonyalope@gmail.com" xr:uid="{38AB19B1-2B6D-428D-A2CA-1ECB1C9681BF}"/>
    <hyperlink ref="P3" r:id="rId3" xr:uid="{34447B80-FDEA-47AF-8AB0-E8714EBE9082}"/>
    <hyperlink ref="P4" r:id="rId4" xr:uid="{236AA1D7-BBC1-463C-B98E-22D4C350A612}"/>
    <hyperlink ref="P5" r:id="rId5" xr:uid="{611C2870-E932-4D16-ACA8-1D6B7396818C}"/>
    <hyperlink ref="P6" r:id="rId6" xr:uid="{3343519F-7303-41C2-B5F2-9C0155D2FDF4}"/>
    <hyperlink ref="P7" r:id="rId7" xr:uid="{9D52A5AC-EAAD-4206-8F42-4D9030779EC8}"/>
    <hyperlink ref="P8" r:id="rId8" xr:uid="{567C9821-B2A0-4D26-82A9-F2F7E5755B78}"/>
    <hyperlink ref="P9" r:id="rId9" xr:uid="{0AE47C04-AB60-48A1-B661-5587D54EE15D}"/>
    <hyperlink ref="P10" r:id="rId10" xr:uid="{8638C55B-89D8-423E-84B1-1ED3C392807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XLOOKUP</vt:lpstr>
      <vt:lpstr>XLOOKUP-MR</vt:lpstr>
      <vt:lpstr>XLOOKUP-EM</vt:lpstr>
      <vt:lpstr>XLOOKUP-SO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Anthony Vargas</cp:lastModifiedBy>
  <dcterms:created xsi:type="dcterms:W3CDTF">2021-12-20T02:45:32Z</dcterms:created>
  <dcterms:modified xsi:type="dcterms:W3CDTF">2023-12-09T04:10:08Z</dcterms:modified>
</cp:coreProperties>
</file>