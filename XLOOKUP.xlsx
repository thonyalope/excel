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nyalope\Documents\GitHub\excel\"/>
    </mc:Choice>
  </mc:AlternateContent>
  <xr:revisionPtr revIDLastSave="0" documentId="13_ncr:1_{0B063BA7-1D9F-47B6-894D-91D2BDB3DE99}" xr6:coauthVersionLast="47" xr6:coauthVersionMax="47" xr10:uidLastSave="{00000000-0000-0000-0000-000000000000}"/>
  <bookViews>
    <workbookView xWindow="-105" yWindow="0" windowWidth="19410" windowHeight="15585" xr2:uid="{5EA44D8F-79D3-45F5-A0F6-C7F47358B7ED}"/>
  </bookViews>
  <sheets>
    <sheet name="X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2" i="1"/>
  <c r="H3" i="1"/>
  <c r="H4" i="1"/>
  <c r="H5" i="1"/>
  <c r="H6" i="1"/>
  <c r="H7" i="1"/>
  <c r="H8" i="1"/>
  <c r="H9" i="1"/>
  <c r="H10" i="1"/>
  <c r="H2" i="1"/>
  <c r="H22" i="1"/>
  <c r="H23" i="1"/>
</calcChain>
</file>

<file path=xl/sharedStrings.xml><?xml version="1.0" encoding="utf-8"?>
<sst xmlns="http://schemas.openxmlformats.org/spreadsheetml/2006/main" count="62" uniqueCount="45">
  <si>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</si>
  <si>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</si>
  <si>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</si>
  <si>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</si>
  <si>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</si>
  <si>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</si>
  <si>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</si>
  <si>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</si>
  <si>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</si>
  <si>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</si>
  <si>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Male</t>
  </si>
  <si>
    <t>Salesman</t>
  </si>
  <si>
    <t>Female</t>
  </si>
  <si>
    <t>Receptionist</t>
  </si>
  <si>
    <t>Accountant</t>
  </si>
  <si>
    <t>HR</t>
  </si>
  <si>
    <t>Regional Manager</t>
  </si>
  <si>
    <t>Supplier Relations</t>
  </si>
  <si>
    <t>Full Name</t>
  </si>
  <si>
    <t>Anthony Vargas</t>
  </si>
  <si>
    <t>Manuel Vargas</t>
  </si>
  <si>
    <t>Norma Alvarado</t>
  </si>
  <si>
    <t>Ninoska Vargas</t>
  </si>
  <si>
    <t>Anthony</t>
  </si>
  <si>
    <t>Vargas</t>
  </si>
  <si>
    <t>Manuel</t>
  </si>
  <si>
    <t>Norma</t>
  </si>
  <si>
    <t>Alvarado</t>
  </si>
  <si>
    <t>Ninoska</t>
  </si>
  <si>
    <t>Josafat</t>
  </si>
  <si>
    <t>Victor</t>
  </si>
  <si>
    <t>Alejandro</t>
  </si>
  <si>
    <t>Rivera</t>
  </si>
  <si>
    <t>Castro</t>
  </si>
  <si>
    <t>Marco</t>
  </si>
  <si>
    <t>Chinchilla</t>
  </si>
  <si>
    <t>thonyalope@gmail.com</t>
  </si>
  <si>
    <t>mvargas@gmail.com</t>
  </si>
  <si>
    <t>nalvarado@gmail.com</t>
  </si>
  <si>
    <t>nvargas@gmail.com</t>
  </si>
  <si>
    <t>jvargas@gmail.com</t>
  </si>
  <si>
    <t>vvargas@gmail.com</t>
  </si>
  <si>
    <t>arivera@gmail.com</t>
  </si>
  <si>
    <t>acastro@gmail.com</t>
  </si>
  <si>
    <t>mchinchilla@gmail.com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</si>
</sst>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4" fontId="1" fillId="0" borderId="0" xfId="1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ivera@gmail.com" TargetMode="External"/><Relationship Id="rId3" Type="http://schemas.openxmlformats.org/officeDocument/2006/relationships/hyperlink" Target="mailto:mvargas@gmail.com" TargetMode="External"/><Relationship Id="rId7" Type="http://schemas.openxmlformats.org/officeDocument/2006/relationships/hyperlink" Target="mailto:vvargas@gmail.com" TargetMode="External"/><Relationship Id="rId2" Type="http://schemas.openxmlformats.org/officeDocument/2006/relationships/hyperlink" Target="mailto:thonyalope@gmail.com" TargetMode="External"/><Relationship Id="rId1" Type="http://schemas.openxmlformats.org/officeDocument/2006/relationships/hyperlink" Target="mailto:thonyalope@gmail.com" TargetMode="External"/><Relationship Id="rId6" Type="http://schemas.openxmlformats.org/officeDocument/2006/relationships/hyperlink" Target="mailto:jvargas@gmail.com" TargetMode="External"/><Relationship Id="rId5" Type="http://schemas.openxmlformats.org/officeDocument/2006/relationships/hyperlink" Target="mailto:nvargas@gmail.com" TargetMode="External"/><Relationship Id="rId10" Type="http://schemas.openxmlformats.org/officeDocument/2006/relationships/hyperlink" Target="mailto:mchinchilla@gmail.com" TargetMode="External"/><Relationship Id="rId4" Type="http://schemas.openxmlformats.org/officeDocument/2006/relationships/hyperlink" Target="mailto:nalvarado@gmail.com" TargetMode="External"/><Relationship Id="rId9" Type="http://schemas.openxmlformats.org/officeDocument/2006/relationships/hyperlink" Target="mailto:acast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sheetPr>
    <tabColor theme="4"/>
  </sheetPr>
  <dimension ref="A1:P23"/>
  <sheetViews>
    <sheetView tabSelected="1" workbookViewId="0">
      <selection activeCell="J15" sqref="J15"/>
    </sheetView>
  </sheetViews>
  <sheetFormatPr defaultRowHeight="15" x14ac:dyDescent="0.25"/>
  <cols>
    <col min="1" max="1" width="16.140625" bestFit="1" customWidth="1"/>
    <col min="2" max="2" width="24.5703125" customWidth="1"/>
    <col min="5" max="5" width="13.42578125" customWidth="1"/>
    <col min="6" max="6" width="10" customWidth="1"/>
    <col min="7" max="7" width="9.7109375" bestFit="1" customWidth="1"/>
    <col min="8" max="8" width="15.85546875" bestFit="1" customWidth="1"/>
    <col min="11" max="11" width="17.42578125" bestFit="1" customWidth="1"/>
    <col min="12" max="12" width="15.7109375" bestFit="1" customWidth="1"/>
    <col min="13" max="13" width="22.5703125" bestFit="1" customWidth="1"/>
    <col min="14" max="14" width="10.7109375" bestFit="1" customWidth="1"/>
    <col min="15" max="15" width="22.5703125" bestFit="1" customWidth="1"/>
    <col min="16" max="16" width="40.7109375" bestFit="1" customWidth="1"/>
  </cols>
  <sheetData>
    <row r="1" spans="1:16" x14ac:dyDescent="0.25">
      <c r="A1" s="2" t="s">
        <v>18</v>
      </c>
      <c r="B1" s="2" t="s">
        <v>9</v>
      </c>
      <c r="E1" s="2" t="s">
        <v>0</v>
      </c>
      <c r="F1" s="2" t="s">
        <v>1</v>
      </c>
      <c r="G1" s="2" t="s">
        <v>2</v>
      </c>
      <c r="H1" s="2" t="s">
        <v>18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</row>
    <row r="2" spans="1:16" x14ac:dyDescent="0.25">
      <c r="A2" s="3" t="s">
        <v>19</v>
      </c>
      <c r="B2" s="3" t="str">
        <f>_xlfn.XLOOKUP(A2,H2:H10,O2:O10)</f>
        <v>thonyalope@gmail.com</v>
      </c>
      <c r="E2" s="3">
        <v>1001</v>
      </c>
      <c r="F2" s="3" t="s">
        <v>23</v>
      </c>
      <c r="G2" s="3" t="s">
        <v>24</v>
      </c>
      <c r="H2" s="3" t="str">
        <f>CONCATENATE(F2," ", G2)</f>
        <v>Anthony Vargas</v>
      </c>
      <c r="I2" s="3">
        <v>27</v>
      </c>
      <c r="J2" s="3" t="s">
        <v>10</v>
      </c>
      <c r="K2" s="3" t="s">
        <v>11</v>
      </c>
      <c r="L2" s="3">
        <v>45000</v>
      </c>
      <c r="M2" s="4">
        <v>37197</v>
      </c>
      <c r="N2" s="4">
        <v>42253</v>
      </c>
      <c r="O2" s="5" t="s">
        <v>36</v>
      </c>
      <c r="P2" s="1"/>
    </row>
    <row r="3" spans="1:16" x14ac:dyDescent="0.25">
      <c r="A3" s="3" t="s">
        <v>20</v>
      </c>
      <c r="B3" s="3" t="str">
        <f>_xlfn.XLOOKUP(A3,H3:H11,O3:O11)</f>
        <v>mvargas@gmail.com</v>
      </c>
      <c r="E3" s="3">
        <v>1002</v>
      </c>
      <c r="F3" s="3" t="s">
        <v>25</v>
      </c>
      <c r="G3" s="3" t="s">
        <v>24</v>
      </c>
      <c r="H3" s="3" t="str">
        <f t="shared" ref="H3:H10" si="0">CONCATENATE(F3," ", G3)</f>
        <v>Manuel Vargas</v>
      </c>
      <c r="I3" s="3">
        <v>52</v>
      </c>
      <c r="J3" s="3" t="s">
        <v>10</v>
      </c>
      <c r="K3" s="3" t="s">
        <v>13</v>
      </c>
      <c r="L3" s="3">
        <v>36000</v>
      </c>
      <c r="M3" s="4">
        <v>36436</v>
      </c>
      <c r="N3" s="4">
        <v>42287</v>
      </c>
      <c r="O3" s="5" t="s">
        <v>37</v>
      </c>
      <c r="P3" s="1"/>
    </row>
    <row r="4" spans="1:16" x14ac:dyDescent="0.25">
      <c r="A4" s="3" t="s">
        <v>21</v>
      </c>
      <c r="B4" s="3" t="str">
        <f>_xlfn.XLOOKUP(A4,H4:H12,O4:O12)</f>
        <v>nalvarado@gmail.com</v>
      </c>
      <c r="E4" s="3">
        <v>1003</v>
      </c>
      <c r="F4" s="3" t="s">
        <v>26</v>
      </c>
      <c r="G4" s="3" t="s">
        <v>27</v>
      </c>
      <c r="H4" s="3" t="str">
        <f t="shared" si="0"/>
        <v>Norma Alvarado</v>
      </c>
      <c r="I4" s="3">
        <v>50</v>
      </c>
      <c r="J4" s="3" t="s">
        <v>12</v>
      </c>
      <c r="K4" s="3" t="s">
        <v>11</v>
      </c>
      <c r="L4" s="3">
        <v>63000</v>
      </c>
      <c r="M4" s="4">
        <v>36711</v>
      </c>
      <c r="N4" s="4">
        <v>42986</v>
      </c>
      <c r="O4" s="5" t="s">
        <v>38</v>
      </c>
      <c r="P4" s="1"/>
    </row>
    <row r="5" spans="1:16" x14ac:dyDescent="0.25">
      <c r="A5" s="3" t="s">
        <v>22</v>
      </c>
      <c r="B5" s="3" t="str">
        <f>_xlfn.XLOOKUP(A5,H5:H13,O5:O13)</f>
        <v>nvargas@gmail.com</v>
      </c>
      <c r="E5" s="3">
        <v>1004</v>
      </c>
      <c r="F5" s="3" t="s">
        <v>28</v>
      </c>
      <c r="G5" s="3" t="s">
        <v>24</v>
      </c>
      <c r="H5" s="3" t="str">
        <f t="shared" si="0"/>
        <v>Ninoska Vargas</v>
      </c>
      <c r="I5" s="3">
        <v>24</v>
      </c>
      <c r="J5" s="3" t="s">
        <v>12</v>
      </c>
      <c r="K5" s="3" t="s">
        <v>14</v>
      </c>
      <c r="L5" s="3">
        <v>47000</v>
      </c>
      <c r="M5" s="4">
        <v>36530</v>
      </c>
      <c r="N5" s="4">
        <v>42341</v>
      </c>
      <c r="O5" s="5" t="s">
        <v>39</v>
      </c>
      <c r="P5" s="1"/>
    </row>
    <row r="6" spans="1:16" x14ac:dyDescent="0.25">
      <c r="E6" s="3">
        <v>1005</v>
      </c>
      <c r="F6" s="3" t="s">
        <v>29</v>
      </c>
      <c r="G6" s="3" t="s">
        <v>24</v>
      </c>
      <c r="H6" s="3" t="str">
        <f t="shared" si="0"/>
        <v>Josafat Vargas</v>
      </c>
      <c r="I6" s="3">
        <v>25</v>
      </c>
      <c r="J6" s="3" t="s">
        <v>10</v>
      </c>
      <c r="K6" s="3" t="s">
        <v>15</v>
      </c>
      <c r="L6" s="3">
        <v>50000</v>
      </c>
      <c r="M6" s="4">
        <v>37017</v>
      </c>
      <c r="N6" s="4">
        <v>42977</v>
      </c>
      <c r="O6" s="5" t="s">
        <v>40</v>
      </c>
      <c r="P6" s="1"/>
    </row>
    <row r="7" spans="1:16" x14ac:dyDescent="0.25">
      <c r="E7" s="3">
        <v>1006</v>
      </c>
      <c r="F7" s="3" t="s">
        <v>30</v>
      </c>
      <c r="G7" s="3" t="s">
        <v>24</v>
      </c>
      <c r="H7" s="3" t="str">
        <f t="shared" si="0"/>
        <v>Victor Vargas</v>
      </c>
      <c r="I7" s="3">
        <v>54</v>
      </c>
      <c r="J7" s="3" t="s">
        <v>10</v>
      </c>
      <c r="K7" s="3" t="s">
        <v>16</v>
      </c>
      <c r="L7" s="3">
        <v>65000</v>
      </c>
      <c r="M7" s="4">
        <v>35040</v>
      </c>
      <c r="N7" s="4">
        <v>41528</v>
      </c>
      <c r="O7" s="5" t="s">
        <v>41</v>
      </c>
      <c r="P7" s="1"/>
    </row>
    <row r="8" spans="1:16" x14ac:dyDescent="0.25">
      <c r="E8" s="3">
        <v>1007</v>
      </c>
      <c r="F8" s="3" t="s">
        <v>31</v>
      </c>
      <c r="G8" s="3" t="s">
        <v>32</v>
      </c>
      <c r="H8" s="3" t="str">
        <f t="shared" si="0"/>
        <v>Alejandro Rivera</v>
      </c>
      <c r="I8" s="3">
        <v>29</v>
      </c>
      <c r="J8" s="3" t="s">
        <v>12</v>
      </c>
      <c r="K8" s="3" t="s">
        <v>17</v>
      </c>
      <c r="L8" s="3">
        <v>41000</v>
      </c>
      <c r="M8" s="4">
        <v>37933</v>
      </c>
      <c r="N8" s="4">
        <v>41551</v>
      </c>
      <c r="O8" s="5" t="s">
        <v>42</v>
      </c>
      <c r="P8" s="1"/>
    </row>
    <row r="9" spans="1:16" x14ac:dyDescent="0.25">
      <c r="E9" s="3">
        <v>1008</v>
      </c>
      <c r="F9" s="3" t="s">
        <v>23</v>
      </c>
      <c r="G9" s="3" t="s">
        <v>33</v>
      </c>
      <c r="H9" s="3" t="str">
        <f t="shared" si="0"/>
        <v>Anthony Castro</v>
      </c>
      <c r="I9" s="3">
        <v>27</v>
      </c>
      <c r="J9" s="3" t="s">
        <v>10</v>
      </c>
      <c r="K9" s="3" t="s">
        <v>11</v>
      </c>
      <c r="L9" s="3">
        <v>48000</v>
      </c>
      <c r="M9" s="4">
        <v>37416</v>
      </c>
      <c r="N9" s="4">
        <v>42116</v>
      </c>
      <c r="O9" s="5" t="s">
        <v>43</v>
      </c>
      <c r="P9" s="1"/>
    </row>
    <row r="10" spans="1:16" x14ac:dyDescent="0.25">
      <c r="E10" s="3">
        <v>1009</v>
      </c>
      <c r="F10" s="3" t="s">
        <v>34</v>
      </c>
      <c r="G10" s="3" t="s">
        <v>35</v>
      </c>
      <c r="H10" s="3" t="str">
        <f t="shared" si="0"/>
        <v>Marco Chinchilla</v>
      </c>
      <c r="I10" s="3">
        <v>28</v>
      </c>
      <c r="J10" s="3" t="s">
        <v>10</v>
      </c>
      <c r="K10" s="3" t="s">
        <v>14</v>
      </c>
      <c r="L10" s="3">
        <v>42000</v>
      </c>
      <c r="M10" s="4">
        <v>37843</v>
      </c>
      <c r="N10" s="4">
        <v>40800</v>
      </c>
      <c r="O10" s="5" t="s">
        <v>44</v>
      </c>
      <c r="P10" s="1"/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hyperlinks>
    <hyperlink ref="O2" r:id="rId1" xr:uid="{1AD907F5-64F6-4950-B0BF-B2501DBA45F0}"/>
    <hyperlink ref="O3:O10" r:id="rId2" display="thonyalope@gmail.com" xr:uid="{4E409482-98BC-4802-9FE5-504A10D1BAF0}"/>
    <hyperlink ref="O3" r:id="rId3" xr:uid="{265B262E-EBAE-4543-945E-D5465D3A0E4D}"/>
    <hyperlink ref="O4" r:id="rId4" xr:uid="{E825EE98-065F-4F3C-929A-5AFF66AA9CB5}"/>
    <hyperlink ref="O5" r:id="rId5" xr:uid="{0A7A4829-1D39-4496-9DBA-2CAB87A255D1}"/>
    <hyperlink ref="O6" r:id="rId6" xr:uid="{69039CEE-930F-4B9C-947F-8CA7D37F4B98}"/>
    <hyperlink ref="O7" r:id="rId7" xr:uid="{F5DE7365-D9FF-4F66-9D43-DBEADE67D7AC}"/>
    <hyperlink ref="O8" r:id="rId8" xr:uid="{3BBEC331-341E-47AF-875E-9C8FC8A8ADB6}"/>
    <hyperlink ref="O9" r:id="rId9" xr:uid="{4D85EC3E-4BE8-4057-B31B-25EA8056C1FE}"/>
    <hyperlink ref="O10" r:id="rId10" xr:uid="{F849F6D4-2355-425F-8CC8-7B64DE7D6F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Anthony Vargas</cp:lastModifiedBy>
  <dcterms:created xsi:type="dcterms:W3CDTF">2021-12-20T02:45:32Z</dcterms:created>
  <dcterms:modified xsi:type="dcterms:W3CDTF">2023-12-09T02:52:40Z</dcterms:modified>
</cp:coreProperties>
</file>